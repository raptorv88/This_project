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filterPrivacy="1"/>
  <xr:revisionPtr revIDLastSave="0" documentId="8_{8FB4CA33-55FC-4BD6-9019-467567AC8020}" xr6:coauthVersionLast="47" xr6:coauthVersionMax="47" xr10:uidLastSave="{00000000-0000-0000-0000-000000000000}"/>
  <bookViews>
    <workbookView xWindow="0" yWindow="0" windowWidth="9460" windowHeight="3810" firstSheet="4" activeTab="4" xr2:uid="{00000000-000D-0000-FFFF-FFFF00000000}"/>
  </bookViews>
  <sheets>
    <sheet name="Diversification" sheetId="1" r:id="rId1"/>
    <sheet name="Clutter" sheetId="2" r:id="rId2"/>
    <sheet name="Risk Vs Reward (Equity)" sheetId="3" r:id="rId3"/>
    <sheet name="Risk Vs Reward (Derivatives)" sheetId="4" r:id="rId4"/>
    <sheet name="Porfolio Balance" sheetId="5" r:id="rId5"/>
  </sheets>
  <definedNames>
    <definedName name="_xlnm._FilterDatabase" localSheetId="4" hidden="1">'Porfolio Balance'!$J$7:$K$7</definedName>
    <definedName name="_xlnm._FilterDatabase" localSheetId="2" hidden="1">'Risk Vs Reward (Equity)'!$A$9:$D$9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5" l="1"/>
  <c r="C15" i="5" s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10" i="3"/>
  <c r="C11" i="5" l="1"/>
  <c r="C10" i="5"/>
  <c r="C9" i="5"/>
  <c r="C8" i="5"/>
  <c r="C19" i="5"/>
  <c r="C39" i="5"/>
  <c r="C50" i="5"/>
  <c r="C51" i="5"/>
  <c r="C21" i="5"/>
  <c r="C35" i="5"/>
  <c r="C49" i="5"/>
  <c r="C48" i="5"/>
  <c r="C14" i="5"/>
  <c r="C32" i="5"/>
  <c r="C46" i="5"/>
  <c r="C12" i="5"/>
  <c r="C44" i="5"/>
  <c r="C26" i="5"/>
  <c r="C24" i="5"/>
  <c r="C38" i="5"/>
  <c r="C23" i="5"/>
  <c r="C37" i="5"/>
  <c r="C22" i="5"/>
  <c r="C36" i="5"/>
  <c r="C20" i="5"/>
  <c r="C34" i="5"/>
  <c r="C33" i="5"/>
  <c r="C47" i="5"/>
  <c r="C13" i="5"/>
  <c r="C31" i="5"/>
  <c r="C45" i="5"/>
  <c r="C27" i="5"/>
  <c r="C43" i="5"/>
  <c r="C25" i="5"/>
  <c r="C42" i="5"/>
  <c r="C30" i="5"/>
  <c r="C18" i="5"/>
  <c r="C41" i="5"/>
  <c r="C29" i="5"/>
  <c r="C17" i="5"/>
  <c r="C52" i="5"/>
  <c r="C40" i="5"/>
  <c r="C28" i="5"/>
  <c r="C16" i="5"/>
  <c r="B55" i="2"/>
  <c r="C13" i="2" s="1"/>
  <c r="D13" i="2" s="1"/>
  <c r="C11" i="2"/>
  <c r="D11" i="2" s="1"/>
  <c r="C12" i="2"/>
  <c r="D12" i="2" s="1"/>
  <c r="C24" i="2"/>
  <c r="D24" i="2" s="1"/>
  <c r="C36" i="2"/>
  <c r="D36" i="2" s="1"/>
  <c r="C48" i="2"/>
  <c r="D48" i="2" s="1"/>
  <c r="B3" i="1"/>
  <c r="F54" i="1"/>
  <c r="J10" i="1" l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9" i="1"/>
  <c r="K9" i="1" s="1"/>
  <c r="K54" i="1" s="1"/>
  <c r="L54" i="1" s="1"/>
  <c r="B4" i="1" s="1"/>
  <c r="H9" i="5"/>
  <c r="H10" i="5"/>
  <c r="H11" i="5"/>
  <c r="H8" i="5"/>
  <c r="C35" i="2"/>
  <c r="D35" i="2" s="1"/>
  <c r="C22" i="2"/>
  <c r="D22" i="2" s="1"/>
  <c r="C32" i="2"/>
  <c r="D32" i="2" s="1"/>
  <c r="C20" i="2"/>
  <c r="D20" i="2" s="1"/>
  <c r="C23" i="2"/>
  <c r="D23" i="2" s="1"/>
  <c r="C46" i="2"/>
  <c r="D46" i="2" s="1"/>
  <c r="C45" i="2"/>
  <c r="D45" i="2" s="1"/>
  <c r="C18" i="2"/>
  <c r="D18" i="2" s="1"/>
  <c r="C47" i="2"/>
  <c r="D47" i="2" s="1"/>
  <c r="C34" i="2"/>
  <c r="D34" i="2" s="1"/>
  <c r="C21" i="2"/>
  <c r="D21" i="2" s="1"/>
  <c r="C43" i="2"/>
  <c r="D43" i="2" s="1"/>
  <c r="C17" i="2"/>
  <c r="D17" i="2" s="1"/>
  <c r="C33" i="2"/>
  <c r="D33" i="2" s="1"/>
  <c r="C44" i="2"/>
  <c r="D44" i="2" s="1"/>
  <c r="C10" i="2"/>
  <c r="D10" i="2" s="1"/>
  <c r="C31" i="2"/>
  <c r="D31" i="2" s="1"/>
  <c r="C19" i="2"/>
  <c r="D19" i="2" s="1"/>
  <c r="C54" i="2"/>
  <c r="D54" i="2" s="1"/>
  <c r="C42" i="2"/>
  <c r="D42" i="2" s="1"/>
  <c r="C30" i="2"/>
  <c r="D30" i="2" s="1"/>
  <c r="C53" i="2"/>
  <c r="D53" i="2" s="1"/>
  <c r="C41" i="2"/>
  <c r="D41" i="2" s="1"/>
  <c r="C29" i="2"/>
  <c r="D29" i="2" s="1"/>
  <c r="C52" i="2"/>
  <c r="D52" i="2" s="1"/>
  <c r="C40" i="2"/>
  <c r="D40" i="2" s="1"/>
  <c r="C28" i="2"/>
  <c r="D28" i="2" s="1"/>
  <c r="C16" i="2"/>
  <c r="D16" i="2" s="1"/>
  <c r="C51" i="2"/>
  <c r="D51" i="2" s="1"/>
  <c r="C39" i="2"/>
  <c r="D39" i="2" s="1"/>
  <c r="C27" i="2"/>
  <c r="D27" i="2" s="1"/>
  <c r="C15" i="2"/>
  <c r="D15" i="2" s="1"/>
  <c r="C50" i="2"/>
  <c r="D50" i="2" s="1"/>
  <c r="C38" i="2"/>
  <c r="D38" i="2" s="1"/>
  <c r="C26" i="2"/>
  <c r="D26" i="2" s="1"/>
  <c r="C14" i="2"/>
  <c r="D14" i="2" s="1"/>
  <c r="C49" i="2"/>
  <c r="D49" i="2" s="1"/>
  <c r="C37" i="2"/>
  <c r="D37" i="2" s="1"/>
  <c r="C25" i="2"/>
  <c r="D25" i="2" s="1"/>
  <c r="H12" i="2" l="1"/>
  <c r="H11" i="2"/>
  <c r="H10" i="2"/>
  <c r="I12" i="3"/>
  <c r="B3" i="3"/>
</calcChain>
</file>

<file path=xl/sharedStrings.xml><?xml version="1.0" encoding="utf-8"?>
<sst xmlns="http://schemas.openxmlformats.org/spreadsheetml/2006/main" count="425" uniqueCount="147">
  <si>
    <t xml:space="preserve">Diversification: </t>
  </si>
  <si>
    <t xml:space="preserve">No of Stocks </t>
  </si>
  <si>
    <t>Effective No Of Stocks</t>
  </si>
  <si>
    <t>Verdict:</t>
  </si>
  <si>
    <t xml:space="preserve">Profolio is comfortably diversified </t>
  </si>
  <si>
    <t>Scrip Name</t>
  </si>
  <si>
    <t>Quantity</t>
  </si>
  <si>
    <t>Avg Rate</t>
  </si>
  <si>
    <t>Closing Price</t>
  </si>
  <si>
    <t>Invested Amount</t>
  </si>
  <si>
    <t>Current Amount</t>
  </si>
  <si>
    <t>Overall P/L</t>
  </si>
  <si>
    <t>% Change</t>
  </si>
  <si>
    <t>Actions</t>
  </si>
  <si>
    <t>Weightage</t>
  </si>
  <si>
    <t>Accent Microcell Limited</t>
  </si>
  <si>
    <t>Details</t>
  </si>
  <si>
    <t>Ajmera Realty &amp; Infra India Lt</t>
  </si>
  <si>
    <t>Aluwind Infra-Tech Ltd</t>
  </si>
  <si>
    <t>Anant Raj Limited</t>
  </si>
  <si>
    <t>Apollo Hospitals Enterprise Lt</t>
  </si>
  <si>
    <t>Chandan Healthcare Ltd</t>
  </si>
  <si>
    <t>Cms Info Systems Limited</t>
  </si>
  <si>
    <t>Efc (I) Limited</t>
  </si>
  <si>
    <t>Garware Hi-Tech Films Limited</t>
  </si>
  <si>
    <t>Godavari Biorefineries Limited</t>
  </si>
  <si>
    <t>Gravita India Ltd.</t>
  </si>
  <si>
    <t>Icici Prudential Bluechip Fund - Growth</t>
  </si>
  <si>
    <t>Idfc First Bank Limited</t>
  </si>
  <si>
    <t>Irb Infrastructure Developers Limited</t>
  </si>
  <si>
    <t>Jeena Sikho Lifecare Limited</t>
  </si>
  <si>
    <t>Jindal Drilling And Industries Limited</t>
  </si>
  <si>
    <t>Jio Financial Services Limited</t>
  </si>
  <si>
    <t>Jsw Energy Ltd</t>
  </si>
  <si>
    <t>Kilburn Engineering Ltd.</t>
  </si>
  <si>
    <t>Kotak Liquid Regular Plan Growth</t>
  </si>
  <si>
    <t>Larsen &amp; Toubro Ltd.</t>
  </si>
  <si>
    <t>Mcnally Bharat Engineering Company Limited</t>
  </si>
  <si>
    <t>Modern Insulators Ltd.</t>
  </si>
  <si>
    <t>Ntpc Green Energy Limited</t>
  </si>
  <si>
    <t>Poddar Housing And Development Limited</t>
  </si>
  <si>
    <t>Power &amp; Instrumentation (Gujarat) Limited</t>
  </si>
  <si>
    <t>Prevest Denpro Limited</t>
  </si>
  <si>
    <t>Privi Speciality Chemicals Limited</t>
  </si>
  <si>
    <t>Raymond Ltd.</t>
  </si>
  <si>
    <t>Raymond Realty Limited</t>
  </si>
  <si>
    <t>Reliance Industries Ltd.</t>
  </si>
  <si>
    <t>Shilpa Medicare Ltd.</t>
  </si>
  <si>
    <t>Sintex Plastics Technology Ltd</t>
  </si>
  <si>
    <t>Sky Gold And Diamonds Limited</t>
  </si>
  <si>
    <t>Sovereign Gold Bonds 2020-21 S</t>
  </si>
  <si>
    <t>State Bank Of India</t>
  </si>
  <si>
    <t>Sun Pharma Advanced Research Company Limited</t>
  </si>
  <si>
    <t>Sunflag Iron And Steel Company Limited</t>
  </si>
  <si>
    <t>Ttk Healthcare Ltd.</t>
  </si>
  <si>
    <t>United Spirits Ltd.</t>
  </si>
  <si>
    <t>Uti Flexi Cap Fund-Regular Plan-Growth</t>
  </si>
  <si>
    <t>Welspun Living Limited</t>
  </si>
  <si>
    <t>Xpro India Ltd.</t>
  </si>
  <si>
    <t>Zen Technologies Ltd.</t>
  </si>
  <si>
    <t>Zydus Wellness Ltd.</t>
  </si>
  <si>
    <t>SATELLITE</t>
  </si>
  <si>
    <t>CORE</t>
  </si>
  <si>
    <t>TAIL</t>
  </si>
  <si>
    <t>Porfolio Structure is good as most holdings are  concentrated enough</t>
  </si>
  <si>
    <t>“You have a solid, diversified core that drives most of your risk and return, plus a decent amount (40%) sitting outside the core in smaller positions alpha creation.”</t>
  </si>
  <si>
    <t>Holding Category</t>
  </si>
  <si>
    <t>Risk Vs Reward (equity)</t>
  </si>
  <si>
    <t>PF XIRR</t>
  </si>
  <si>
    <t>nifty 50 Returns</t>
  </si>
  <si>
    <t>Porfolio Structure is good as most holdings are  concentrated enough and has outperfomed benchmark significantly</t>
  </si>
  <si>
    <t>Can give comparison with other MFs and calculate sharpe ratio</t>
  </si>
  <si>
    <t>COCD</t>
  </si>
  <si>
    <t>Voucher Date</t>
  </si>
  <si>
    <t>Narration</t>
  </si>
  <si>
    <t>Amount</t>
  </si>
  <si>
    <t>Opening PF Value (Pulled from Global Of CY 24</t>
  </si>
  <si>
    <t xml:space="preserve">ledger opening Balance </t>
  </si>
  <si>
    <t>BSE_CASH</t>
  </si>
  <si>
    <t>PAYOUTG</t>
  </si>
  <si>
    <t>QPAYOUTA</t>
  </si>
  <si>
    <t>NSE_CASH</t>
  </si>
  <si>
    <t>Received Amount Through Payment Gateway, Merchant TxnID : YESBN12025041604412541MICR :411532002 Bank AcNo:000899300000054</t>
  </si>
  <si>
    <t>Received Amount Through Payment Gateway, Merchant TxnID : YESBN12025041904515103MICR :411532002 Bank AcNo:000899300000054</t>
  </si>
  <si>
    <t>Received Amount Through Payment Gateway, Merchant TxnID : YESBN12025042304832621MICR :411532002 Bank AcNo:000899300000054</t>
  </si>
  <si>
    <t>* payout</t>
  </si>
  <si>
    <t>Received Amount Through Payment Gateway, Merchant TxnID : YESOB51472095550MICR :411532002 Bank AcNo:000899300000054</t>
  </si>
  <si>
    <t>Received Amount Through Payment Gateway, Merchant TxnID : YESOB51502079294MICR :411532002 Bank AcNo:000899300000054</t>
  </si>
  <si>
    <t>Received Amount Through Payment Gateway, Merchant TxnID : YESOB51601974428MICR :411532002 Bank AcNo:000899300000054</t>
  </si>
  <si>
    <t>Received Amount Through Payment Gateway, Merchant TxnID : YESOB51762071480MICR :411532002 Bank AcNo:000899300000054</t>
  </si>
  <si>
    <t>payout</t>
  </si>
  <si>
    <t>Received Amount Through Payment Gateway, Merchant TxnID : YESOB52182021093MICR :411532002 Bank AcNo:000899300000054</t>
  </si>
  <si>
    <t>Received Amount Through Payment Gateway, Merchant TxnID : YESOB52192052111MICR :411532002 Bank AcNo:000899300000054</t>
  </si>
  <si>
    <t>Received Amount Through Payment Gateway, Merchant TxnID : YESOB52262016112MICR :411532002 Bank AcNo:000899300000054</t>
  </si>
  <si>
    <t>Received Amount Through Payment Gateway, Merchant TxnID : YESIB52311956238MICR :411532002 Bank AcNo:000899300000054</t>
  </si>
  <si>
    <t>* PAYOUT</t>
  </si>
  <si>
    <t>*PAYOUT</t>
  </si>
  <si>
    <t>Received Amount Through Payment Gateway, Merchant TxnID : YESOB52650022162MICR :411532002 Bank AcNo:000899300000054</t>
  </si>
  <si>
    <t>Received Amount Through Payment Gateway, Merchant TxnID : YESOB52690015621MICR :411532002 Bank AcNo:000899300000054</t>
  </si>
  <si>
    <t>PAYOUT</t>
  </si>
  <si>
    <t>Received Amount Through Payment Gateway, Merchant TxnID : YESOB52820034902MICR :411532002 Bank AcNo:000899300000054</t>
  </si>
  <si>
    <t>NSE_FNO</t>
  </si>
  <si>
    <t>Received Amount Through Payment Gateway, Merchant TxnID : YESOB52930011614MICR :411532002 Bank AcNo:000899300000054</t>
  </si>
  <si>
    <t>Received Amount Through Payment Gateway, Merchant TxnID : YESOB53030009396MICR :411532002 Bank AcNo:000899300000054</t>
  </si>
  <si>
    <t>Received Amount Through Payment Gateway, Merchant TxnID : YESOB53040023747MICR :411532002 Bank AcNo:000899300000054</t>
  </si>
  <si>
    <t>Received Amount Through Payment Gateway, Merchant TxnID : YESOB53230029968MICR :411532002 Bank AcNo:000899300000054</t>
  </si>
  <si>
    <t>* PAYOUT THROUGH IBT</t>
  </si>
  <si>
    <t xml:space="preserve">Closing Amount </t>
  </si>
  <si>
    <t>Ledger Closing</t>
  </si>
  <si>
    <t>Portfolio Balance</t>
  </si>
  <si>
    <t xml:space="preserve">Smart Reccomendations will be able to provide insight into buzzing sectors and potential underweight to those sectors </t>
  </si>
  <si>
    <t>Size balance: Clearly aggressive / growth-oriented because more than half is outside large caps.</t>
  </si>
  <si>
    <t>M.Cap</t>
  </si>
  <si>
    <t>Sector</t>
  </si>
  <si>
    <t>Micro Cap</t>
  </si>
  <si>
    <t>Healthcare</t>
  </si>
  <si>
    <t>Breweries &amp; Distilleries</t>
  </si>
  <si>
    <t>Small Cap</t>
  </si>
  <si>
    <t>Realty</t>
  </si>
  <si>
    <t>Capital Goods</t>
  </si>
  <si>
    <t>Mid Cap</t>
  </si>
  <si>
    <t>Large Cap</t>
  </si>
  <si>
    <t xml:space="preserve">Power </t>
  </si>
  <si>
    <t>Electrical Equipment </t>
  </si>
  <si>
    <t>Pharma</t>
  </si>
  <si>
    <t>Diversified Commercial Services</t>
  </si>
  <si>
    <t>Public Sector Bank</t>
  </si>
  <si>
    <t>Auto Ancillary</t>
  </si>
  <si>
    <t xml:space="preserve"> </t>
  </si>
  <si>
    <t>Specialty Chemicals</t>
  </si>
  <si>
    <t>Diversified FMCG</t>
  </si>
  <si>
    <t>Gems, Jewellery And Watches</t>
  </si>
  <si>
    <t>Metals &amp; Mining </t>
  </si>
  <si>
    <t>Private Sector Bank</t>
  </si>
  <si>
    <t>Mutual Fund</t>
  </si>
  <si>
    <t>Industrial Products</t>
  </si>
  <si>
    <t>Financial Services</t>
  </si>
  <si>
    <t>Construction</t>
  </si>
  <si>
    <t>Aerospace &amp; Defense</t>
  </si>
  <si>
    <t>Offshore Support Solution Drilling</t>
  </si>
  <si>
    <t>Food Products </t>
  </si>
  <si>
    <t>Diversified Goods</t>
  </si>
  <si>
    <t>Debt</t>
  </si>
  <si>
    <t>Gold</t>
  </si>
  <si>
    <t>Textiles </t>
  </si>
  <si>
    <t>Refineries &amp; Marketing</t>
  </si>
  <si>
    <t>Iron &amp; Steel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</si>
</sst>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.00;[Red]&quot;₹&quot;\ \-#,##0.00"/>
    <numFmt numFmtId="165" formatCode="_ * #,##0.00_ ;_ * \-#,##0.00_ ;_ * &quot;-&quot;??_ ;_ @_ "/>
    <numFmt numFmtId="166" formatCode="_ * #,##0_ ;_ * \-#,##0_ ;_ * &quot;-&quot;??_ ;_ @_ "/>
    <numFmt numFmtId="167" formatCode="0.0%"/>
    <numFmt numFmtId="168" formatCode="0.0"/>
  </numFmts>
  <fonts count="12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8"/>
      <color rgb="FF000000"/>
      <name val="Calibri"/>
      <family val="2"/>
    </font>
    <font>
      <b/>
      <sz val="8"/>
      <color rgb="FF00B0F0"/>
      <name val="Calibri"/>
      <family val="2"/>
    </font>
    <font>
      <b/>
      <sz val="8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9F9F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2" fillId="2" borderId="0" xfId="0" applyFont="1" applyFill="1" applyAlignment="1">
      <alignment vertical="center"/>
    </xf>
    <xf numFmtId="0" fontId="6" fillId="0" borderId="0" xfId="0" applyFont="1"/>
    <xf numFmtId="166" fontId="0" fillId="0" borderId="0" xfId="1" applyNumberFormat="1" applyFont="1"/>
    <xf numFmtId="10" fontId="0" fillId="0" borderId="0" xfId="2" applyNumberFormat="1" applyFont="1"/>
    <xf numFmtId="168" fontId="0" fillId="0" borderId="0" xfId="0" applyNumberFormat="1"/>
    <xf numFmtId="0" fontId="7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9" fontId="0" fillId="0" borderId="1" xfId="2" applyFont="1" applyBorder="1"/>
    <xf numFmtId="0" fontId="8" fillId="3" borderId="1" xfId="0" applyFont="1" applyFill="1" applyBorder="1" applyAlignment="1">
      <alignment horizontal="center" vertical="center"/>
    </xf>
    <xf numFmtId="167" fontId="0" fillId="0" borderId="1" xfId="2" applyNumberFormat="1" applyFont="1" applyBorder="1"/>
    <xf numFmtId="0" fontId="7" fillId="2" borderId="1" xfId="0" applyFont="1" applyFill="1" applyBorder="1" applyAlignment="1">
      <alignment vertical="center"/>
    </xf>
    <xf numFmtId="9" fontId="2" fillId="2" borderId="1" xfId="2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15" fontId="0" fillId="0" borderId="0" xfId="0" applyNumberFormat="1"/>
    <xf numFmtId="164" fontId="0" fillId="0" borderId="0" xfId="0" applyNumberFormat="1"/>
    <xf numFmtId="0" fontId="0" fillId="5" borderId="0" xfId="0" applyFill="1"/>
    <xf numFmtId="15" fontId="5" fillId="5" borderId="0" xfId="0" applyNumberFormat="1" applyFont="1" applyFill="1"/>
    <xf numFmtId="0" fontId="5" fillId="5" borderId="0" xfId="0" applyFont="1" applyFill="1"/>
    <xf numFmtId="164" fontId="0" fillId="5" borderId="0" xfId="0" applyNumberFormat="1" applyFill="1"/>
    <xf numFmtId="9" fontId="0" fillId="0" borderId="0" xfId="2" applyFont="1"/>
    <xf numFmtId="167" fontId="0" fillId="0" borderId="2" xfId="2" applyNumberFormat="1" applyFont="1" applyBorder="1"/>
    <xf numFmtId="166" fontId="0" fillId="0" borderId="1" xfId="1" applyNumberFormat="1" applyFont="1" applyBorder="1"/>
    <xf numFmtId="166" fontId="0" fillId="4" borderId="1" xfId="1" applyNumberFormat="1" applyFont="1" applyFill="1" applyBorder="1"/>
    <xf numFmtId="0" fontId="5" fillId="6" borderId="1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673100</xdr:colOff>
      <xdr:row>0</xdr:row>
      <xdr:rowOff>101600</xdr:rowOff>
    </xdr:from>
    <xdr:to>
      <xdr:col>5</xdr:col>
      <xdr:colOff>1296735</xdr:colOff>
      <xdr:row>5</xdr:row>
      <xdr:rowOff>39895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0" y="101600"/>
          <a:ext cx="4814635" cy="954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152852</xdr:rowOff>
    </xdr:from>
    <xdr:to>
      <xdr:col>9</xdr:col>
      <xdr:colOff>566081</xdr:colOff>
      <xdr:row>5</xdr:row>
      <xdr:rowOff>92253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2300" y="152852"/>
          <a:ext cx="4953931" cy="955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4"/>
  <sheetViews>
    <sheetView zoomScaleNormal="100" workbookViewId="0">
      <selection activeCell="A8" sqref="A8:A53"/>
    </sheetView>
  </sheetViews>
  <sheetFormatPr defaultRowHeight="14.45"/>
  <cols>
    <col min="1" max="9" width="30" customWidth="1"/>
    <col min="10" max="10" width="9.7109375" bestFit="1" customWidth="1"/>
    <col min="12" max="12" width="13.42578125" bestFit="1" customWidth="1"/>
  </cols>
  <sheetData>
    <row r="1" spans="1:11" s="1" customFormat="1" ht="15.95" customHeight="1">
      <c r="A1" s="11" t="s">
        <v>0</v>
      </c>
      <c r="B1" s="6"/>
      <c r="C1" s="6"/>
      <c r="D1" s="6"/>
      <c r="E1" s="6"/>
      <c r="F1" s="6"/>
      <c r="G1" s="6"/>
      <c r="H1" s="6"/>
      <c r="I1" s="6"/>
    </row>
    <row r="2" spans="1:11" s="1" customFormat="1" ht="15.95" customHeight="1">
      <c r="A2" s="11"/>
      <c r="B2" s="6"/>
      <c r="C2" s="6"/>
      <c r="D2" s="6"/>
      <c r="E2" s="6"/>
      <c r="F2" s="6"/>
      <c r="G2" s="6"/>
      <c r="H2" s="6"/>
      <c r="I2" s="6"/>
    </row>
    <row r="3" spans="1:11" s="1" customFormat="1" ht="15.95" customHeight="1">
      <c r="A3" s="11" t="s">
        <v>1</v>
      </c>
      <c r="B3" s="6">
        <f>COUNT(B9:B53)</f>
        <v>45</v>
      </c>
      <c r="C3" s="6"/>
      <c r="D3" s="6"/>
      <c r="E3" s="6"/>
      <c r="F3" s="6"/>
      <c r="G3" s="6"/>
      <c r="H3" s="6"/>
      <c r="I3" s="6"/>
    </row>
    <row r="4" spans="1:11" s="1" customFormat="1" ht="15.95" customHeight="1">
      <c r="A4" s="11" t="s">
        <v>2</v>
      </c>
      <c r="B4" s="12">
        <f>L54</f>
        <v>20.1488241673704</v>
      </c>
      <c r="C4" s="6"/>
      <c r="D4" s="6"/>
      <c r="E4" s="6"/>
      <c r="F4" s="6"/>
      <c r="G4" s="6"/>
      <c r="H4" s="6"/>
      <c r="I4" s="6"/>
    </row>
    <row r="5" spans="1:11" s="1" customFormat="1" ht="15.95" customHeight="1">
      <c r="A5" s="11"/>
      <c r="B5" s="6"/>
      <c r="C5" s="6"/>
      <c r="D5" s="6"/>
      <c r="E5" s="6"/>
      <c r="F5" s="6"/>
      <c r="G5" s="6"/>
      <c r="H5" s="6"/>
      <c r="I5" s="6"/>
    </row>
    <row r="6" spans="1:11" s="1" customFormat="1" ht="15.95" customHeight="1">
      <c r="A6" s="11" t="s">
        <v>3</v>
      </c>
      <c r="B6" s="11" t="s">
        <v>4</v>
      </c>
      <c r="C6" s="6"/>
      <c r="D6" s="6"/>
      <c r="E6" s="6"/>
      <c r="F6" s="6"/>
      <c r="G6" s="6"/>
      <c r="H6" s="6"/>
      <c r="I6" s="6"/>
    </row>
    <row r="8" spans="1:11" s="2" customFormat="1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</row>
    <row r="9" spans="1:11">
      <c r="A9" s="4" t="s">
        <v>15</v>
      </c>
      <c r="B9" s="4">
        <v>1500</v>
      </c>
      <c r="C9" s="4">
        <v>284.18</v>
      </c>
      <c r="D9" s="4">
        <v>327.3</v>
      </c>
      <c r="E9" s="4">
        <v>426270</v>
      </c>
      <c r="F9" s="4">
        <v>490950</v>
      </c>
      <c r="G9" s="4">
        <v>64680</v>
      </c>
      <c r="H9" s="4">
        <v>15.17</v>
      </c>
      <c r="I9" s="4" t="s">
        <v>16</v>
      </c>
      <c r="J9" s="9">
        <f>F9/$F$54</f>
        <v>2.6818594865114901E-2</v>
      </c>
      <c r="K9">
        <f>J9^2</f>
        <v>7.1923703053916729E-4</v>
      </c>
    </row>
    <row r="10" spans="1:11">
      <c r="A10" s="5" t="s">
        <v>17</v>
      </c>
      <c r="B10" s="5">
        <v>600</v>
      </c>
      <c r="C10" s="5">
        <v>999.02</v>
      </c>
      <c r="D10" s="5">
        <v>1020.1</v>
      </c>
      <c r="E10" s="5">
        <v>599413.80000000005</v>
      </c>
      <c r="F10" s="5">
        <v>612060</v>
      </c>
      <c r="G10" s="5">
        <v>12646.2</v>
      </c>
      <c r="H10" s="5">
        <v>2.11</v>
      </c>
      <c r="I10" s="5" t="s">
        <v>16</v>
      </c>
      <c r="J10" s="9">
        <f t="shared" ref="J10:J53" si="0">F10/$F$54</f>
        <v>3.3434339898446332E-2</v>
      </c>
      <c r="K10">
        <f t="shared" ref="K10:K53" si="1">J10^2</f>
        <v>1.1178550844448403E-3</v>
      </c>
    </row>
    <row r="11" spans="1:11">
      <c r="A11" s="4" t="s">
        <v>18</v>
      </c>
      <c r="B11" s="4">
        <v>3000</v>
      </c>
      <c r="C11" s="4">
        <v>85.03</v>
      </c>
      <c r="D11" s="4">
        <v>78</v>
      </c>
      <c r="E11" s="4">
        <v>255090</v>
      </c>
      <c r="F11" s="4">
        <v>234000</v>
      </c>
      <c r="G11" s="4">
        <v>-21090</v>
      </c>
      <c r="H11" s="4">
        <v>-8.27</v>
      </c>
      <c r="I11" s="4" t="s">
        <v>16</v>
      </c>
      <c r="J11" s="9">
        <f t="shared" si="0"/>
        <v>1.2782465013620303E-2</v>
      </c>
      <c r="K11">
        <f t="shared" si="1"/>
        <v>1.6339141182442708E-4</v>
      </c>
    </row>
    <row r="12" spans="1:11">
      <c r="A12" s="5" t="s">
        <v>19</v>
      </c>
      <c r="B12" s="5">
        <v>1000</v>
      </c>
      <c r="C12" s="5">
        <v>532.9</v>
      </c>
      <c r="D12" s="5">
        <v>576.45000000000005</v>
      </c>
      <c r="E12" s="5">
        <v>532898.84</v>
      </c>
      <c r="F12" s="5">
        <v>576450</v>
      </c>
      <c r="G12" s="5">
        <v>43551.16</v>
      </c>
      <c r="H12" s="5">
        <v>8.17</v>
      </c>
      <c r="I12" s="5" t="s">
        <v>16</v>
      </c>
      <c r="J12" s="9">
        <f t="shared" si="0"/>
        <v>3.1489110927783857E-2</v>
      </c>
      <c r="K12">
        <f t="shared" si="1"/>
        <v>9.9156410702227679E-4</v>
      </c>
    </row>
    <row r="13" spans="1:11">
      <c r="A13" s="4" t="s">
        <v>20</v>
      </c>
      <c r="B13" s="4">
        <v>125</v>
      </c>
      <c r="C13" s="4">
        <v>7680.92</v>
      </c>
      <c r="D13" s="4">
        <v>7335.5</v>
      </c>
      <c r="E13" s="4">
        <v>960115</v>
      </c>
      <c r="F13" s="4">
        <v>916937.5</v>
      </c>
      <c r="G13" s="4">
        <v>-43177.5</v>
      </c>
      <c r="H13" s="4">
        <v>-4.5</v>
      </c>
      <c r="I13" s="4" t="s">
        <v>16</v>
      </c>
      <c r="J13" s="9">
        <f t="shared" si="0"/>
        <v>5.0088553476181477E-2</v>
      </c>
      <c r="K13">
        <f t="shared" si="1"/>
        <v>2.5088631893362915E-3</v>
      </c>
    </row>
    <row r="14" spans="1:11">
      <c r="A14" s="5" t="s">
        <v>21</v>
      </c>
      <c r="B14" s="5">
        <v>800</v>
      </c>
      <c r="C14" s="5">
        <v>353.84</v>
      </c>
      <c r="D14" s="5">
        <v>333.15</v>
      </c>
      <c r="E14" s="5">
        <v>283072</v>
      </c>
      <c r="F14" s="5">
        <v>266520</v>
      </c>
      <c r="G14" s="5">
        <v>-16552</v>
      </c>
      <c r="H14" s="5">
        <v>-5.85</v>
      </c>
      <c r="I14" s="5" t="s">
        <v>16</v>
      </c>
      <c r="J14" s="9">
        <f t="shared" si="0"/>
        <v>1.4558899895000353E-2</v>
      </c>
      <c r="K14">
        <f t="shared" si="1"/>
        <v>2.119615661526413E-4</v>
      </c>
    </row>
    <row r="15" spans="1:11">
      <c r="A15" s="4" t="s">
        <v>22</v>
      </c>
      <c r="B15" s="4">
        <v>400</v>
      </c>
      <c r="C15" s="4">
        <v>560.79999999999995</v>
      </c>
      <c r="D15" s="4">
        <v>354.95</v>
      </c>
      <c r="E15" s="4">
        <v>224321.6</v>
      </c>
      <c r="F15" s="4">
        <v>141980</v>
      </c>
      <c r="G15" s="4">
        <v>-82341.600000000006</v>
      </c>
      <c r="H15" s="4">
        <v>-36.71</v>
      </c>
      <c r="I15" s="4" t="s">
        <v>16</v>
      </c>
      <c r="J15" s="9">
        <f t="shared" si="0"/>
        <v>7.7557879599735487E-3</v>
      </c>
      <c r="K15">
        <f t="shared" si="1"/>
        <v>6.0152246880070657E-5</v>
      </c>
    </row>
    <row r="16" spans="1:11">
      <c r="A16" s="5" t="s">
        <v>23</v>
      </c>
      <c r="B16" s="5">
        <v>2275</v>
      </c>
      <c r="C16" s="5">
        <v>279.95</v>
      </c>
      <c r="D16" s="5">
        <v>273.8</v>
      </c>
      <c r="E16" s="5">
        <v>636887.65</v>
      </c>
      <c r="F16" s="5">
        <v>622895</v>
      </c>
      <c r="G16" s="5">
        <v>-13992.65</v>
      </c>
      <c r="H16" s="5">
        <v>-2.2000000000000002</v>
      </c>
      <c r="I16" s="5" t="s">
        <v>16</v>
      </c>
      <c r="J16" s="9">
        <f t="shared" si="0"/>
        <v>3.4026211729312042E-2</v>
      </c>
      <c r="K16">
        <f t="shared" si="1"/>
        <v>1.1577830846479723E-3</v>
      </c>
    </row>
    <row r="17" spans="1:11">
      <c r="A17" s="4" t="s">
        <v>24</v>
      </c>
      <c r="B17" s="4">
        <v>94</v>
      </c>
      <c r="C17" s="4">
        <v>4216.63</v>
      </c>
      <c r="D17" s="4">
        <v>3929.5</v>
      </c>
      <c r="E17" s="4">
        <v>396362.76</v>
      </c>
      <c r="F17" s="4">
        <v>369373</v>
      </c>
      <c r="G17" s="4">
        <v>-26989.759999999998</v>
      </c>
      <c r="H17" s="4">
        <v>-6.81</v>
      </c>
      <c r="I17" s="4" t="s">
        <v>16</v>
      </c>
      <c r="J17" s="9">
        <f t="shared" si="0"/>
        <v>2.0177339527675094E-2</v>
      </c>
      <c r="K17">
        <f t="shared" si="1"/>
        <v>4.0712503041507979E-4</v>
      </c>
    </row>
    <row r="18" spans="1:11">
      <c r="A18" s="5" t="s">
        <v>25</v>
      </c>
      <c r="B18" s="5">
        <v>1750</v>
      </c>
      <c r="C18" s="5">
        <v>292.95999999999998</v>
      </c>
      <c r="D18" s="5">
        <v>248.3</v>
      </c>
      <c r="E18" s="5">
        <v>512675.04</v>
      </c>
      <c r="F18" s="5">
        <v>434525</v>
      </c>
      <c r="G18" s="5">
        <v>-78150.039999999994</v>
      </c>
      <c r="H18" s="5">
        <v>-15.24</v>
      </c>
      <c r="I18" s="5" t="s">
        <v>16</v>
      </c>
      <c r="J18" s="9">
        <f t="shared" si="0"/>
        <v>2.37363273933477E-2</v>
      </c>
      <c r="K18">
        <f t="shared" si="1"/>
        <v>5.6341323812418836E-4</v>
      </c>
    </row>
    <row r="19" spans="1:11">
      <c r="A19" s="4" t="s">
        <v>26</v>
      </c>
      <c r="B19" s="4">
        <v>100</v>
      </c>
      <c r="C19" s="4">
        <v>1762.8</v>
      </c>
      <c r="D19" s="4">
        <v>1823.3</v>
      </c>
      <c r="E19" s="4">
        <v>176280.16</v>
      </c>
      <c r="F19" s="4">
        <v>182330</v>
      </c>
      <c r="G19" s="4">
        <v>6049.84</v>
      </c>
      <c r="H19" s="4">
        <v>3.43</v>
      </c>
      <c r="I19" s="4" t="s">
        <v>16</v>
      </c>
      <c r="J19" s="9">
        <f t="shared" si="0"/>
        <v>9.959943786040126E-3</v>
      </c>
      <c r="K19">
        <f t="shared" si="1"/>
        <v>9.9200480221079318E-5</v>
      </c>
    </row>
    <row r="20" spans="1:11">
      <c r="A20" s="5" t="s">
        <v>27</v>
      </c>
      <c r="B20" s="5">
        <v>81</v>
      </c>
      <c r="C20" s="5">
        <v>61.55</v>
      </c>
      <c r="D20" s="5">
        <v>116.11</v>
      </c>
      <c r="E20" s="5">
        <v>4985.59</v>
      </c>
      <c r="F20" s="5">
        <v>9404.91</v>
      </c>
      <c r="G20" s="5">
        <v>4419.32</v>
      </c>
      <c r="H20" s="5">
        <v>88.64</v>
      </c>
      <c r="I20" s="5" t="s">
        <v>16</v>
      </c>
      <c r="J20" s="9">
        <f t="shared" si="0"/>
        <v>5.1375185056088768E-4</v>
      </c>
      <c r="K20">
        <f t="shared" si="1"/>
        <v>2.6394096395473665E-7</v>
      </c>
    </row>
    <row r="21" spans="1:11">
      <c r="A21" s="4" t="s">
        <v>28</v>
      </c>
      <c r="B21" s="4">
        <v>7750</v>
      </c>
      <c r="C21" s="4">
        <v>69.430000000000007</v>
      </c>
      <c r="D21" s="4">
        <v>80.13</v>
      </c>
      <c r="E21" s="4">
        <v>538082.5</v>
      </c>
      <c r="F21" s="4">
        <v>621007.5</v>
      </c>
      <c r="G21" s="4">
        <v>82925</v>
      </c>
      <c r="H21" s="4">
        <v>15.41</v>
      </c>
      <c r="I21" s="4" t="s">
        <v>16</v>
      </c>
      <c r="J21" s="9">
        <f t="shared" si="0"/>
        <v>3.3923105307460726E-2</v>
      </c>
      <c r="K21">
        <f t="shared" si="1"/>
        <v>1.1507770737010699E-3</v>
      </c>
    </row>
    <row r="22" spans="1:11">
      <c r="A22" s="5" t="s">
        <v>29</v>
      </c>
      <c r="B22" s="5">
        <v>4900</v>
      </c>
      <c r="C22" s="5">
        <v>66.72</v>
      </c>
      <c r="D22" s="5">
        <v>42.91</v>
      </c>
      <c r="E22" s="5">
        <v>326928</v>
      </c>
      <c r="F22" s="5">
        <v>210259</v>
      </c>
      <c r="G22" s="5">
        <v>-116669</v>
      </c>
      <c r="H22" s="5">
        <v>-35.69</v>
      </c>
      <c r="I22" s="5" t="s">
        <v>16</v>
      </c>
      <c r="J22" s="9">
        <f t="shared" si="0"/>
        <v>1.1485591073926457E-2</v>
      </c>
      <c r="K22">
        <f t="shared" si="1"/>
        <v>1.319188023174591E-4</v>
      </c>
    </row>
    <row r="23" spans="1:11">
      <c r="A23" s="4" t="s">
        <v>30</v>
      </c>
      <c r="B23" s="4">
        <v>450</v>
      </c>
      <c r="C23" s="4">
        <v>437.82</v>
      </c>
      <c r="D23" s="4">
        <v>707.9</v>
      </c>
      <c r="E23" s="4">
        <v>197019</v>
      </c>
      <c r="F23" s="4">
        <v>318555</v>
      </c>
      <c r="G23" s="4">
        <v>121536</v>
      </c>
      <c r="H23" s="4">
        <v>61.69</v>
      </c>
      <c r="I23" s="4" t="s">
        <v>16</v>
      </c>
      <c r="J23" s="9">
        <f t="shared" si="0"/>
        <v>1.7401359582965022E-2</v>
      </c>
      <c r="K23">
        <f t="shared" si="1"/>
        <v>3.0280731533564859E-4</v>
      </c>
    </row>
    <row r="24" spans="1:11">
      <c r="A24" s="5" t="s">
        <v>31</v>
      </c>
      <c r="B24" s="5">
        <v>600</v>
      </c>
      <c r="C24" s="5">
        <v>713.51</v>
      </c>
      <c r="D24" s="5">
        <v>555</v>
      </c>
      <c r="E24" s="5">
        <v>428109</v>
      </c>
      <c r="F24" s="5">
        <v>333000</v>
      </c>
      <c r="G24" s="5">
        <v>-95109</v>
      </c>
      <c r="H24" s="5">
        <v>-22.22</v>
      </c>
      <c r="I24" s="5" t="s">
        <v>16</v>
      </c>
      <c r="J24" s="9">
        <f t="shared" si="0"/>
        <v>1.8190430980921199E-2</v>
      </c>
      <c r="K24">
        <f t="shared" si="1"/>
        <v>3.3089177927165777E-4</v>
      </c>
    </row>
    <row r="25" spans="1:11">
      <c r="A25" s="4" t="s">
        <v>32</v>
      </c>
      <c r="B25" s="4">
        <v>1850</v>
      </c>
      <c r="C25" s="4">
        <v>245.88</v>
      </c>
      <c r="D25" s="4">
        <v>306.25</v>
      </c>
      <c r="E25" s="4">
        <v>454871.5</v>
      </c>
      <c r="F25" s="4">
        <v>566562.5</v>
      </c>
      <c r="G25" s="4">
        <v>111691</v>
      </c>
      <c r="H25" s="4">
        <v>24.55</v>
      </c>
      <c r="I25" s="4" t="s">
        <v>16</v>
      </c>
      <c r="J25" s="9">
        <f t="shared" si="0"/>
        <v>3.0948997155039539E-2</v>
      </c>
      <c r="K25">
        <f t="shared" si="1"/>
        <v>9.5784042490264546E-4</v>
      </c>
    </row>
    <row r="26" spans="1:11">
      <c r="A26" s="5" t="s">
        <v>33</v>
      </c>
      <c r="B26" s="5">
        <v>2000</v>
      </c>
      <c r="C26" s="5">
        <v>610.61</v>
      </c>
      <c r="D26" s="5">
        <v>488.65</v>
      </c>
      <c r="E26" s="5">
        <v>1221219.5</v>
      </c>
      <c r="F26" s="5">
        <v>977300</v>
      </c>
      <c r="G26" s="5">
        <v>-243919.5</v>
      </c>
      <c r="H26" s="5">
        <v>-19.97</v>
      </c>
      <c r="I26" s="5" t="s">
        <v>16</v>
      </c>
      <c r="J26" s="9">
        <f t="shared" si="0"/>
        <v>5.3385910503466326E-2</v>
      </c>
      <c r="K26">
        <f t="shared" si="1"/>
        <v>2.8500554402841162E-3</v>
      </c>
    </row>
    <row r="27" spans="1:11">
      <c r="A27" s="4" t="s">
        <v>34</v>
      </c>
      <c r="B27" s="4">
        <v>1010</v>
      </c>
      <c r="C27" s="4">
        <v>419.69</v>
      </c>
      <c r="D27" s="4">
        <v>590.75</v>
      </c>
      <c r="E27" s="4">
        <v>423886.89</v>
      </c>
      <c r="F27" s="4">
        <v>596657.5</v>
      </c>
      <c r="G27" s="4">
        <v>172770.61</v>
      </c>
      <c r="H27" s="4">
        <v>40.76</v>
      </c>
      <c r="I27" s="4" t="s">
        <v>16</v>
      </c>
      <c r="J27" s="9">
        <f t="shared" si="0"/>
        <v>3.2592964183180154E-2</v>
      </c>
      <c r="K27">
        <f t="shared" si="1"/>
        <v>1.0623013142460644E-3</v>
      </c>
    </row>
    <row r="28" spans="1:11">
      <c r="A28" s="5" t="s">
        <v>35</v>
      </c>
      <c r="B28" s="5">
        <v>1</v>
      </c>
      <c r="C28" s="5">
        <v>4273.29</v>
      </c>
      <c r="D28" s="5">
        <v>5402.58</v>
      </c>
      <c r="E28" s="5">
        <v>4273.29</v>
      </c>
      <c r="F28" s="5">
        <v>5402.58</v>
      </c>
      <c r="G28" s="5">
        <v>1129.29</v>
      </c>
      <c r="H28" s="5">
        <v>26.43</v>
      </c>
      <c r="I28" s="5" t="s">
        <v>16</v>
      </c>
      <c r="J28" s="9">
        <f t="shared" si="0"/>
        <v>2.9512089672343916E-4</v>
      </c>
      <c r="K28">
        <f t="shared" si="1"/>
        <v>8.7096343682846848E-8</v>
      </c>
    </row>
    <row r="29" spans="1:11">
      <c r="A29" s="4" t="s">
        <v>36</v>
      </c>
      <c r="B29" s="4">
        <v>20</v>
      </c>
      <c r="C29" s="4">
        <v>3492.38</v>
      </c>
      <c r="D29" s="4">
        <v>4069.6</v>
      </c>
      <c r="E29" s="4">
        <v>69847.600000000006</v>
      </c>
      <c r="F29" s="4">
        <v>81392</v>
      </c>
      <c r="G29" s="4">
        <v>11544.4</v>
      </c>
      <c r="H29" s="4">
        <v>16.53</v>
      </c>
      <c r="I29" s="4" t="s">
        <v>16</v>
      </c>
      <c r="J29" s="9">
        <f t="shared" si="0"/>
        <v>4.4461127879854003E-3</v>
      </c>
      <c r="K29">
        <f t="shared" si="1"/>
        <v>1.976791892348731E-5</v>
      </c>
    </row>
    <row r="30" spans="1:11">
      <c r="A30" s="5" t="s">
        <v>37</v>
      </c>
      <c r="B30" s="5">
        <v>1000</v>
      </c>
      <c r="C30" s="5">
        <v>4.91</v>
      </c>
      <c r="D30" s="5">
        <v>3.27</v>
      </c>
      <c r="E30" s="5">
        <v>4910</v>
      </c>
      <c r="F30" s="5">
        <v>3270</v>
      </c>
      <c r="G30" s="5">
        <v>-1640</v>
      </c>
      <c r="H30" s="5">
        <v>-33.4</v>
      </c>
      <c r="I30" s="5" t="s">
        <v>16</v>
      </c>
      <c r="J30" s="9">
        <f t="shared" si="0"/>
        <v>1.7862675467751447E-4</v>
      </c>
      <c r="K30">
        <f t="shared" si="1"/>
        <v>3.1907517486620936E-8</v>
      </c>
    </row>
    <row r="31" spans="1:11">
      <c r="A31" s="4" t="s">
        <v>38</v>
      </c>
      <c r="B31" s="4">
        <v>645</v>
      </c>
      <c r="C31" s="4">
        <v>168.27</v>
      </c>
      <c r="D31" s="4">
        <v>168.9</v>
      </c>
      <c r="E31" s="4">
        <v>108532.4</v>
      </c>
      <c r="F31" s="4">
        <v>108940.5</v>
      </c>
      <c r="G31" s="4">
        <v>408.1</v>
      </c>
      <c r="H31" s="4">
        <v>0.38</v>
      </c>
      <c r="I31" s="4" t="s">
        <v>16</v>
      </c>
      <c r="J31" s="9">
        <f t="shared" si="0"/>
        <v>5.9509749137448822E-3</v>
      </c>
      <c r="K31">
        <f t="shared" si="1"/>
        <v>3.5414102424020908E-5</v>
      </c>
    </row>
    <row r="32" spans="1:11">
      <c r="A32" s="5" t="s">
        <v>39</v>
      </c>
      <c r="B32" s="5">
        <v>1000</v>
      </c>
      <c r="C32" s="5">
        <v>149.79</v>
      </c>
      <c r="D32" s="5">
        <v>94.95</v>
      </c>
      <c r="E32" s="5">
        <v>149790</v>
      </c>
      <c r="F32" s="5">
        <v>94950</v>
      </c>
      <c r="G32" s="5">
        <v>-54840</v>
      </c>
      <c r="H32" s="5">
        <v>-36.61</v>
      </c>
      <c r="I32" s="5" t="s">
        <v>16</v>
      </c>
      <c r="J32" s="9">
        <f t="shared" si="0"/>
        <v>5.1867309959113149E-3</v>
      </c>
      <c r="K32">
        <f t="shared" si="1"/>
        <v>2.6902178423947181E-5</v>
      </c>
    </row>
    <row r="33" spans="1:11">
      <c r="A33" s="4" t="s">
        <v>40</v>
      </c>
      <c r="B33" s="4">
        <v>200</v>
      </c>
      <c r="C33" s="4">
        <v>173.09</v>
      </c>
      <c r="D33" s="4">
        <v>49.21</v>
      </c>
      <c r="E33" s="4">
        <v>34617.699999999997</v>
      </c>
      <c r="F33" s="4">
        <v>9842</v>
      </c>
      <c r="G33" s="4">
        <v>-24775.7</v>
      </c>
      <c r="H33" s="4">
        <v>-71.569999999999993</v>
      </c>
      <c r="I33" s="4" t="s">
        <v>16</v>
      </c>
      <c r="J33" s="9">
        <f t="shared" si="0"/>
        <v>5.3762829343611542E-4</v>
      </c>
      <c r="K33">
        <f t="shared" si="1"/>
        <v>2.8904418190302984E-7</v>
      </c>
    </row>
    <row r="34" spans="1:11">
      <c r="A34" s="5" t="s">
        <v>41</v>
      </c>
      <c r="B34" s="5">
        <v>3000</v>
      </c>
      <c r="C34" s="5">
        <v>167.08</v>
      </c>
      <c r="D34" s="5">
        <v>151.85</v>
      </c>
      <c r="E34" s="5">
        <v>501251.37</v>
      </c>
      <c r="F34" s="5">
        <v>455550</v>
      </c>
      <c r="G34" s="5">
        <v>-45701.37</v>
      </c>
      <c r="H34" s="5">
        <v>-9.1199999999999992</v>
      </c>
      <c r="I34" s="5" t="s">
        <v>16</v>
      </c>
      <c r="J34" s="9">
        <f t="shared" si="0"/>
        <v>2.4884837337413368E-2</v>
      </c>
      <c r="K34">
        <f t="shared" si="1"/>
        <v>6.1925512930952249E-4</v>
      </c>
    </row>
    <row r="35" spans="1:11">
      <c r="A35" s="4" t="s">
        <v>42</v>
      </c>
      <c r="B35" s="4">
        <v>1000</v>
      </c>
      <c r="C35" s="4">
        <v>530.14</v>
      </c>
      <c r="D35" s="4">
        <v>440.3</v>
      </c>
      <c r="E35" s="4">
        <v>530140</v>
      </c>
      <c r="F35" s="4">
        <v>440300</v>
      </c>
      <c r="G35" s="4">
        <v>-89840</v>
      </c>
      <c r="H35" s="4">
        <v>-16.95</v>
      </c>
      <c r="I35" s="4" t="s">
        <v>16</v>
      </c>
      <c r="J35" s="9">
        <f t="shared" si="0"/>
        <v>2.4051792074773586E-2</v>
      </c>
      <c r="K35">
        <f t="shared" si="1"/>
        <v>5.7848870200814145E-4</v>
      </c>
    </row>
    <row r="36" spans="1:11">
      <c r="A36" s="5" t="s">
        <v>43</v>
      </c>
      <c r="B36" s="5">
        <v>203</v>
      </c>
      <c r="C36" s="5">
        <v>2092.81</v>
      </c>
      <c r="D36" s="5">
        <v>3162.05</v>
      </c>
      <c r="E36" s="5">
        <v>424841.01</v>
      </c>
      <c r="F36" s="5">
        <v>641896.15</v>
      </c>
      <c r="G36" s="5">
        <v>217055.14</v>
      </c>
      <c r="H36" s="5">
        <v>51.09</v>
      </c>
      <c r="I36" s="5" t="s">
        <v>16</v>
      </c>
      <c r="J36" s="9">
        <f t="shared" si="0"/>
        <v>3.5064167007489613E-2</v>
      </c>
      <c r="K36">
        <f t="shared" si="1"/>
        <v>1.2294958079291231E-3</v>
      </c>
    </row>
    <row r="37" spans="1:11">
      <c r="A37" s="4" t="s">
        <v>44</v>
      </c>
      <c r="B37" s="4">
        <v>300</v>
      </c>
      <c r="C37" s="4">
        <v>2661.52</v>
      </c>
      <c r="D37" s="4">
        <v>482.75</v>
      </c>
      <c r="E37" s="4">
        <v>798457.24</v>
      </c>
      <c r="F37" s="4">
        <v>144825</v>
      </c>
      <c r="G37" s="4">
        <v>-653632.24</v>
      </c>
      <c r="H37" s="4">
        <v>-81.86</v>
      </c>
      <c r="I37" s="4" t="s">
        <v>16</v>
      </c>
      <c r="J37" s="9">
        <f t="shared" si="0"/>
        <v>7.9111986991348728E-3</v>
      </c>
      <c r="K37">
        <f t="shared" si="1"/>
        <v>6.2587064857193308E-5</v>
      </c>
    </row>
    <row r="38" spans="1:11">
      <c r="A38" s="5" t="s">
        <v>45</v>
      </c>
      <c r="B38" s="5">
        <v>300</v>
      </c>
      <c r="C38" s="5">
        <v>0</v>
      </c>
      <c r="D38" s="5">
        <v>503.2</v>
      </c>
      <c r="E38" s="5">
        <v>0</v>
      </c>
      <c r="F38" s="5">
        <v>150960</v>
      </c>
      <c r="G38" s="5">
        <v>150960</v>
      </c>
      <c r="H38" s="5">
        <v>0</v>
      </c>
      <c r="I38" s="5" t="s">
        <v>16</v>
      </c>
      <c r="J38" s="9">
        <f t="shared" si="0"/>
        <v>8.2463287113509441E-3</v>
      </c>
      <c r="K38">
        <f t="shared" si="1"/>
        <v>6.8001937215650927E-5</v>
      </c>
    </row>
    <row r="39" spans="1:11">
      <c r="A39" s="4" t="s">
        <v>46</v>
      </c>
      <c r="B39" s="4">
        <v>80</v>
      </c>
      <c r="C39" s="4">
        <v>1398.98</v>
      </c>
      <c r="D39" s="4">
        <v>1567.5</v>
      </c>
      <c r="E39" s="4">
        <v>111918.3</v>
      </c>
      <c r="F39" s="4">
        <v>125400</v>
      </c>
      <c r="G39" s="4">
        <v>13481.7</v>
      </c>
      <c r="H39" s="4">
        <v>12.05</v>
      </c>
      <c r="I39" s="4" t="s">
        <v>16</v>
      </c>
      <c r="J39" s="9">
        <f t="shared" si="0"/>
        <v>6.8500902252478027E-3</v>
      </c>
      <c r="K39">
        <f t="shared" si="1"/>
        <v>4.6923736094035495E-5</v>
      </c>
    </row>
    <row r="40" spans="1:11">
      <c r="A40" s="5" t="s">
        <v>47</v>
      </c>
      <c r="B40" s="5">
        <v>800</v>
      </c>
      <c r="C40" s="5">
        <v>447.62</v>
      </c>
      <c r="D40" s="5">
        <v>341.8</v>
      </c>
      <c r="E40" s="5">
        <v>358092</v>
      </c>
      <c r="F40" s="5">
        <v>273440</v>
      </c>
      <c r="G40" s="5">
        <v>-84652</v>
      </c>
      <c r="H40" s="5">
        <v>-23.64</v>
      </c>
      <c r="I40" s="5" t="s">
        <v>16</v>
      </c>
      <c r="J40" s="9">
        <f t="shared" si="0"/>
        <v>1.4936911253522801E-2</v>
      </c>
      <c r="K40">
        <f t="shared" si="1"/>
        <v>2.2311131779561609E-4</v>
      </c>
    </row>
    <row r="41" spans="1:11">
      <c r="A41" s="4" t="s">
        <v>48</v>
      </c>
      <c r="B41" s="4">
        <v>5000</v>
      </c>
      <c r="C41" s="4">
        <v>2.69</v>
      </c>
      <c r="D41" s="4">
        <v>1.06</v>
      </c>
      <c r="E41" s="4">
        <v>13450</v>
      </c>
      <c r="F41" s="4">
        <v>5300</v>
      </c>
      <c r="G41" s="4">
        <v>-8150</v>
      </c>
      <c r="H41" s="4">
        <v>-60.59</v>
      </c>
      <c r="I41" s="4" t="s">
        <v>16</v>
      </c>
      <c r="J41" s="9">
        <f t="shared" si="0"/>
        <v>2.895173699666137E-4</v>
      </c>
      <c r="K41">
        <f t="shared" si="1"/>
        <v>8.3820307512385073E-8</v>
      </c>
    </row>
    <row r="42" spans="1:11">
      <c r="A42" s="5" t="s">
        <v>49</v>
      </c>
      <c r="B42" s="5">
        <v>1890</v>
      </c>
      <c r="C42" s="5">
        <v>40.76</v>
      </c>
      <c r="D42" s="5">
        <v>331.15</v>
      </c>
      <c r="E42" s="5">
        <v>77039.100000000006</v>
      </c>
      <c r="F42" s="5">
        <v>625873.5</v>
      </c>
      <c r="G42" s="5">
        <v>548834.4</v>
      </c>
      <c r="H42" s="5">
        <v>712.41</v>
      </c>
      <c r="I42" s="5" t="s">
        <v>16</v>
      </c>
      <c r="J42" s="9">
        <f t="shared" si="0"/>
        <v>3.4188915028641395E-2</v>
      </c>
      <c r="K42">
        <f t="shared" si="1"/>
        <v>1.1688819108356615E-3</v>
      </c>
    </row>
    <row r="43" spans="1:11">
      <c r="A43" s="4" t="s">
        <v>50</v>
      </c>
      <c r="B43" s="4">
        <v>20</v>
      </c>
      <c r="C43" s="4">
        <v>4774.1400000000003</v>
      </c>
      <c r="D43" s="4">
        <v>13119.77</v>
      </c>
      <c r="E43" s="4">
        <v>95482.9</v>
      </c>
      <c r="F43" s="4">
        <v>262395.40000000002</v>
      </c>
      <c r="G43" s="4">
        <v>166912.5</v>
      </c>
      <c r="H43" s="4">
        <v>174.81</v>
      </c>
      <c r="I43" s="4" t="s">
        <v>16</v>
      </c>
      <c r="J43" s="9">
        <f t="shared" si="0"/>
        <v>1.4333589830063696E-2</v>
      </c>
      <c r="K43">
        <f t="shared" si="1"/>
        <v>2.0545179741650541E-4</v>
      </c>
    </row>
    <row r="44" spans="1:11">
      <c r="A44" s="5" t="s">
        <v>51</v>
      </c>
      <c r="B44" s="5">
        <v>750</v>
      </c>
      <c r="C44" s="5">
        <v>801.21</v>
      </c>
      <c r="D44" s="5">
        <v>979.55</v>
      </c>
      <c r="E44" s="5">
        <v>600907.5</v>
      </c>
      <c r="F44" s="5">
        <v>734662.5</v>
      </c>
      <c r="G44" s="5">
        <v>133755</v>
      </c>
      <c r="H44" s="5">
        <v>22.26</v>
      </c>
      <c r="I44" s="5" t="s">
        <v>16</v>
      </c>
      <c r="J44" s="9">
        <f t="shared" si="0"/>
        <v>4.013161411567874E-2</v>
      </c>
      <c r="K44">
        <f t="shared" si="1"/>
        <v>1.610546451529745E-3</v>
      </c>
    </row>
    <row r="45" spans="1:11">
      <c r="A45" s="4" t="s">
        <v>52</v>
      </c>
      <c r="B45" s="4">
        <v>4000</v>
      </c>
      <c r="C45" s="4">
        <v>186.82</v>
      </c>
      <c r="D45" s="4">
        <v>134.51</v>
      </c>
      <c r="E45" s="4">
        <v>747300</v>
      </c>
      <c r="F45" s="4">
        <v>538040</v>
      </c>
      <c r="G45" s="4">
        <v>-209260</v>
      </c>
      <c r="H45" s="4">
        <v>-28</v>
      </c>
      <c r="I45" s="4" t="s">
        <v>16</v>
      </c>
      <c r="J45" s="9">
        <f t="shared" si="0"/>
        <v>2.9390929384308834E-2</v>
      </c>
      <c r="K45">
        <f t="shared" si="1"/>
        <v>8.6382673007342852E-4</v>
      </c>
    </row>
    <row r="46" spans="1:11">
      <c r="A46" s="5" t="s">
        <v>53</v>
      </c>
      <c r="B46" s="5">
        <v>384</v>
      </c>
      <c r="C46" s="5">
        <v>289.12</v>
      </c>
      <c r="D46" s="5">
        <v>254.1</v>
      </c>
      <c r="E46" s="5">
        <v>111020.27</v>
      </c>
      <c r="F46" s="5">
        <v>97574.399999999994</v>
      </c>
      <c r="G46" s="5">
        <v>-13445.87</v>
      </c>
      <c r="H46" s="5">
        <v>-12.11</v>
      </c>
      <c r="I46" s="5" t="s">
        <v>16</v>
      </c>
      <c r="J46" s="9">
        <f t="shared" si="0"/>
        <v>5.330091257371764E-3</v>
      </c>
      <c r="K46">
        <f t="shared" si="1"/>
        <v>2.8409872811910913E-5</v>
      </c>
    </row>
    <row r="47" spans="1:11">
      <c r="A47" s="4" t="s">
        <v>54</v>
      </c>
      <c r="B47" s="4">
        <v>300</v>
      </c>
      <c r="C47" s="4">
        <v>1362.81</v>
      </c>
      <c r="D47" s="4">
        <v>1113.8</v>
      </c>
      <c r="E47" s="4">
        <v>408843.6</v>
      </c>
      <c r="F47" s="4">
        <v>334140</v>
      </c>
      <c r="G47" s="4">
        <v>-74703.600000000006</v>
      </c>
      <c r="H47" s="4">
        <v>-18.27</v>
      </c>
      <c r="I47" s="4" t="s">
        <v>16</v>
      </c>
      <c r="J47" s="9">
        <f t="shared" si="0"/>
        <v>1.8252704528423452E-2</v>
      </c>
      <c r="K47">
        <f t="shared" si="1"/>
        <v>3.3316122260193E-4</v>
      </c>
    </row>
    <row r="48" spans="1:11">
      <c r="A48" s="5" t="s">
        <v>55</v>
      </c>
      <c r="B48" s="5">
        <v>2000</v>
      </c>
      <c r="C48" s="5">
        <v>623.35</v>
      </c>
      <c r="D48" s="5">
        <v>1451.85</v>
      </c>
      <c r="E48" s="5">
        <v>1246694.45</v>
      </c>
      <c r="F48" s="5">
        <v>2903700</v>
      </c>
      <c r="G48" s="5">
        <v>1657005.55</v>
      </c>
      <c r="H48" s="5">
        <v>132.91</v>
      </c>
      <c r="I48" s="5" t="s">
        <v>16</v>
      </c>
      <c r="J48" s="9">
        <f t="shared" si="0"/>
        <v>0.15861728059850116</v>
      </c>
      <c r="K48">
        <f t="shared" si="1"/>
        <v>2.5159441704463655E-2</v>
      </c>
    </row>
    <row r="49" spans="1:12">
      <c r="A49" s="4" t="s">
        <v>56</v>
      </c>
      <c r="B49" s="4">
        <v>84</v>
      </c>
      <c r="C49" s="4">
        <v>235.4</v>
      </c>
      <c r="D49" s="4">
        <v>328.03</v>
      </c>
      <c r="E49" s="4">
        <v>19774.009999999998</v>
      </c>
      <c r="F49" s="4">
        <v>27554.52</v>
      </c>
      <c r="G49" s="4">
        <v>7780.51</v>
      </c>
      <c r="H49" s="4">
        <v>39.35</v>
      </c>
      <c r="I49" s="4" t="s">
        <v>16</v>
      </c>
      <c r="J49" s="9">
        <f t="shared" si="0"/>
        <v>1.5051909737910294E-3</v>
      </c>
      <c r="K49">
        <f t="shared" si="1"/>
        <v>2.2655998675819874E-6</v>
      </c>
    </row>
    <row r="50" spans="1:12">
      <c r="A50" s="5" t="s">
        <v>57</v>
      </c>
      <c r="B50" s="5">
        <v>1468</v>
      </c>
      <c r="C50" s="5">
        <v>176.49</v>
      </c>
      <c r="D50" s="5">
        <v>148.82</v>
      </c>
      <c r="E50" s="5">
        <v>259083.06</v>
      </c>
      <c r="F50" s="5">
        <v>218467.76</v>
      </c>
      <c r="G50" s="5">
        <v>-40615.300000000003</v>
      </c>
      <c r="H50" s="5">
        <v>-15.68</v>
      </c>
      <c r="I50" s="5" t="s">
        <v>16</v>
      </c>
      <c r="J50" s="9">
        <f t="shared" si="0"/>
        <v>1.1934002131641013E-2</v>
      </c>
      <c r="K50">
        <f t="shared" si="1"/>
        <v>1.4242040687801225E-4</v>
      </c>
    </row>
    <row r="51" spans="1:12">
      <c r="A51" s="4" t="s">
        <v>58</v>
      </c>
      <c r="B51" s="4">
        <v>600</v>
      </c>
      <c r="C51" s="4">
        <v>1212.53</v>
      </c>
      <c r="D51" s="4">
        <v>1030.4000000000001</v>
      </c>
      <c r="E51" s="4">
        <v>727519.2</v>
      </c>
      <c r="F51" s="4">
        <v>618240</v>
      </c>
      <c r="G51" s="4">
        <v>-109279.2</v>
      </c>
      <c r="H51" s="4">
        <v>-15.02</v>
      </c>
      <c r="I51" s="4" t="s">
        <v>16</v>
      </c>
      <c r="J51" s="9">
        <f t="shared" si="0"/>
        <v>3.3771928077011175E-2</v>
      </c>
      <c r="K51">
        <f t="shared" si="1"/>
        <v>1.1405431260388156E-3</v>
      </c>
    </row>
    <row r="52" spans="1:12">
      <c r="A52" s="5" t="s">
        <v>59</v>
      </c>
      <c r="B52" s="5">
        <v>350</v>
      </c>
      <c r="C52" s="5">
        <v>2077.4699999999998</v>
      </c>
      <c r="D52" s="5">
        <v>1406.7</v>
      </c>
      <c r="E52" s="5">
        <v>727114.5</v>
      </c>
      <c r="F52" s="5">
        <v>492345</v>
      </c>
      <c r="G52" s="5">
        <v>-234769.5</v>
      </c>
      <c r="H52" s="5">
        <v>-32.29</v>
      </c>
      <c r="I52" s="5" t="s">
        <v>16</v>
      </c>
      <c r="J52" s="9">
        <f t="shared" si="0"/>
        <v>2.6894798021926871E-2</v>
      </c>
      <c r="K52">
        <f t="shared" si="1"/>
        <v>7.2333016064024156E-4</v>
      </c>
    </row>
    <row r="53" spans="1:12">
      <c r="A53" s="4" t="s">
        <v>60</v>
      </c>
      <c r="B53" s="4">
        <v>1000</v>
      </c>
      <c r="C53" s="4">
        <v>300.88</v>
      </c>
      <c r="D53" s="4">
        <v>431.1</v>
      </c>
      <c r="E53" s="4">
        <v>300876</v>
      </c>
      <c r="F53" s="4">
        <v>431100</v>
      </c>
      <c r="G53" s="4">
        <v>130224</v>
      </c>
      <c r="H53" s="4">
        <v>43.28</v>
      </c>
      <c r="I53" s="4" t="s">
        <v>16</v>
      </c>
      <c r="J53" s="9">
        <f t="shared" si="0"/>
        <v>2.3549233621246633E-2</v>
      </c>
      <c r="K53">
        <f t="shared" si="1"/>
        <v>5.5456640414805285E-4</v>
      </c>
    </row>
    <row r="54" spans="1:12">
      <c r="E54" s="7"/>
      <c r="F54" s="8">
        <f>SUM(F9:F53)</f>
        <v>18306328.219999999</v>
      </c>
      <c r="K54">
        <f>SUM(K9:K53)</f>
        <v>4.9630687711267517E-2</v>
      </c>
      <c r="L54" s="10">
        <f>1/K54</f>
        <v>20.1488241673704</v>
      </c>
    </row>
  </sheetData>
  <pageMargins left="0.7" right="0.7" top="0.75" bottom="0.75" header="0.3" footer="0.3"/>
  <pageSetup paperSize="9" fitToHeight="0" orientation="portrait" horizontalDpi="4294967295" verticalDpi="4294967295" r:id="rId1"/>
  <headerFooter>
    <oddFooter>&amp;L&amp;F&amp;C&amp;P of &amp;N&amp;R&amp;D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workbookViewId="0">
      <selection activeCell="J8" sqref="J8"/>
    </sheetView>
  </sheetViews>
  <sheetFormatPr defaultRowHeight="14.45"/>
  <cols>
    <col min="1" max="1" width="43.140625" bestFit="1" customWidth="1"/>
    <col min="2" max="2" width="14.5703125" bestFit="1" customWidth="1"/>
    <col min="4" max="4" width="15" bestFit="1" customWidth="1"/>
    <col min="7" max="7" width="9.85546875" bestFit="1" customWidth="1"/>
    <col min="10" max="10" width="39.85546875" customWidth="1"/>
  </cols>
  <sheetData>
    <row r="1" spans="1:10" s="1" customFormat="1" ht="15.95" customHeight="1">
      <c r="A1" s="11" t="s">
        <v>0</v>
      </c>
      <c r="B1" s="6"/>
      <c r="C1" s="6"/>
      <c r="D1" s="6"/>
      <c r="E1" s="6"/>
      <c r="F1" s="6"/>
      <c r="G1" s="6"/>
      <c r="H1" s="6"/>
      <c r="I1" s="6"/>
    </row>
    <row r="2" spans="1:10" s="1" customFormat="1" ht="15.95" customHeight="1">
      <c r="A2" s="11"/>
      <c r="B2" s="6"/>
      <c r="C2" s="6"/>
      <c r="D2" s="6"/>
      <c r="E2" s="6"/>
      <c r="F2" s="6"/>
      <c r="G2" s="6"/>
      <c r="H2" s="6"/>
      <c r="I2" s="6"/>
    </row>
    <row r="3" spans="1:10" s="1" customFormat="1" ht="15.95" customHeight="1">
      <c r="A3" s="16" t="s">
        <v>61</v>
      </c>
      <c r="B3" s="17">
        <v>0.33337980651589122</v>
      </c>
      <c r="C3" s="6"/>
      <c r="D3" s="6"/>
      <c r="E3" s="6"/>
      <c r="F3" s="6"/>
      <c r="G3" s="6"/>
      <c r="H3" s="6"/>
      <c r="I3" s="6"/>
    </row>
    <row r="4" spans="1:10" s="1" customFormat="1" ht="15.95" customHeight="1">
      <c r="A4" s="16" t="s">
        <v>62</v>
      </c>
      <c r="B4" s="17">
        <v>0.6016630980081924</v>
      </c>
      <c r="C4" s="6"/>
      <c r="D4" s="6"/>
      <c r="E4" s="6"/>
      <c r="F4" s="6"/>
      <c r="G4" s="6"/>
      <c r="H4" s="6"/>
      <c r="I4" s="6"/>
    </row>
    <row r="5" spans="1:10" s="1" customFormat="1" ht="15.95" customHeight="1">
      <c r="A5" s="16" t="s">
        <v>63</v>
      </c>
      <c r="B5" s="17">
        <v>6.4957095475916257E-2</v>
      </c>
      <c r="C5" s="6"/>
      <c r="D5" s="6"/>
      <c r="E5" s="6"/>
      <c r="F5" s="6"/>
      <c r="G5" s="6"/>
      <c r="H5" s="6"/>
      <c r="I5" s="6"/>
    </row>
    <row r="6" spans="1:10" s="1" customFormat="1" ht="15.95" customHeight="1">
      <c r="A6" s="11"/>
      <c r="B6" s="18"/>
      <c r="C6" s="6"/>
      <c r="D6" s="6"/>
      <c r="E6" s="6"/>
      <c r="F6" s="6"/>
      <c r="G6" s="6"/>
      <c r="H6" s="6"/>
      <c r="I6" s="6"/>
    </row>
    <row r="7" spans="1:10" s="1" customFormat="1" ht="32.1" customHeight="1">
      <c r="A7" s="11" t="s">
        <v>3</v>
      </c>
      <c r="B7" s="11" t="s">
        <v>64</v>
      </c>
      <c r="C7" s="6"/>
      <c r="D7" s="6"/>
      <c r="E7" s="6"/>
      <c r="F7" s="6"/>
      <c r="G7" s="6"/>
      <c r="H7" s="6"/>
      <c r="I7" s="6"/>
      <c r="J7" s="32" t="s">
        <v>65</v>
      </c>
    </row>
    <row r="9" spans="1:10">
      <c r="A9" s="3" t="s">
        <v>5</v>
      </c>
      <c r="B9" s="3" t="s">
        <v>10</v>
      </c>
      <c r="C9" s="3" t="s">
        <v>14</v>
      </c>
      <c r="D9" s="14" t="s">
        <v>66</v>
      </c>
    </row>
    <row r="10" spans="1:10">
      <c r="A10" s="4" t="s">
        <v>15</v>
      </c>
      <c r="B10" s="4">
        <v>490950</v>
      </c>
      <c r="C10" s="15">
        <f>B10/$B$55</f>
        <v>2.6818594865114901E-2</v>
      </c>
      <c r="D10" s="4" t="str">
        <f>IF(C10&gt;3%,"CORE",IF(C10&lt;1%,"TAIL","SATELLITE"))</f>
        <v>SATELLITE</v>
      </c>
      <c r="G10" s="4" t="s">
        <v>61</v>
      </c>
      <c r="H10" s="13">
        <f>SUMIF(D10:D54,G10,C10:C54)</f>
        <v>0.33337980651589122</v>
      </c>
    </row>
    <row r="11" spans="1:10">
      <c r="A11" s="5" t="s">
        <v>17</v>
      </c>
      <c r="B11" s="5">
        <v>612060</v>
      </c>
      <c r="C11" s="15">
        <f t="shared" ref="C11:C54" si="0">B11/$B$55</f>
        <v>3.3434339898446332E-2</v>
      </c>
      <c r="D11" s="4" t="str">
        <f t="shared" ref="D11:D54" si="1">IF(C11&gt;3%,"CORE",IF(C11&lt;1%,"TAIL","SATELLITE"))</f>
        <v>CORE</v>
      </c>
      <c r="G11" s="4" t="s">
        <v>62</v>
      </c>
      <c r="H11" s="13">
        <f>SUMIF(D11:D55,G11,C11:C55)</f>
        <v>0.6016630980081924</v>
      </c>
    </row>
    <row r="12" spans="1:10">
      <c r="A12" s="4" t="s">
        <v>18</v>
      </c>
      <c r="B12" s="4">
        <v>234000</v>
      </c>
      <c r="C12" s="15">
        <f t="shared" si="0"/>
        <v>1.2782465013620303E-2</v>
      </c>
      <c r="D12" s="4" t="str">
        <f t="shared" si="1"/>
        <v>SATELLITE</v>
      </c>
      <c r="G12" s="4" t="s">
        <v>63</v>
      </c>
      <c r="H12" s="13">
        <f>SUMIF(D12:D56,G12,C12:C56)</f>
        <v>6.4957095475916257E-2</v>
      </c>
    </row>
    <row r="13" spans="1:10">
      <c r="A13" s="5" t="s">
        <v>19</v>
      </c>
      <c r="B13" s="5">
        <v>576450</v>
      </c>
      <c r="C13" s="15">
        <f t="shared" si="0"/>
        <v>3.1489110927783857E-2</v>
      </c>
      <c r="D13" s="4" t="str">
        <f t="shared" si="1"/>
        <v>CORE</v>
      </c>
    </row>
    <row r="14" spans="1:10">
      <c r="A14" s="4" t="s">
        <v>20</v>
      </c>
      <c r="B14" s="4">
        <v>916937.5</v>
      </c>
      <c r="C14" s="15">
        <f t="shared" si="0"/>
        <v>5.0088553476181477E-2</v>
      </c>
      <c r="D14" s="4" t="str">
        <f t="shared" si="1"/>
        <v>CORE</v>
      </c>
    </row>
    <row r="15" spans="1:10">
      <c r="A15" s="5" t="s">
        <v>21</v>
      </c>
      <c r="B15" s="5">
        <v>266520</v>
      </c>
      <c r="C15" s="15">
        <f t="shared" si="0"/>
        <v>1.4558899895000353E-2</v>
      </c>
      <c r="D15" s="4" t="str">
        <f t="shared" si="1"/>
        <v>SATELLITE</v>
      </c>
    </row>
    <row r="16" spans="1:10">
      <c r="A16" s="4" t="s">
        <v>22</v>
      </c>
      <c r="B16" s="4">
        <v>141980</v>
      </c>
      <c r="C16" s="15">
        <f t="shared" si="0"/>
        <v>7.7557879599735487E-3</v>
      </c>
      <c r="D16" s="4" t="str">
        <f t="shared" si="1"/>
        <v>TAIL</v>
      </c>
    </row>
    <row r="17" spans="1:4">
      <c r="A17" s="5" t="s">
        <v>23</v>
      </c>
      <c r="B17" s="5">
        <v>622895</v>
      </c>
      <c r="C17" s="15">
        <f t="shared" si="0"/>
        <v>3.4026211729312042E-2</v>
      </c>
      <c r="D17" s="4" t="str">
        <f t="shared" si="1"/>
        <v>CORE</v>
      </c>
    </row>
    <row r="18" spans="1:4">
      <c r="A18" s="4" t="s">
        <v>24</v>
      </c>
      <c r="B18" s="4">
        <v>369373</v>
      </c>
      <c r="C18" s="15">
        <f t="shared" si="0"/>
        <v>2.0177339527675094E-2</v>
      </c>
      <c r="D18" s="4" t="str">
        <f t="shared" si="1"/>
        <v>SATELLITE</v>
      </c>
    </row>
    <row r="19" spans="1:4">
      <c r="A19" s="5" t="s">
        <v>25</v>
      </c>
      <c r="B19" s="5">
        <v>434525</v>
      </c>
      <c r="C19" s="15">
        <f t="shared" si="0"/>
        <v>2.37363273933477E-2</v>
      </c>
      <c r="D19" s="4" t="str">
        <f t="shared" si="1"/>
        <v>SATELLITE</v>
      </c>
    </row>
    <row r="20" spans="1:4">
      <c r="A20" s="4" t="s">
        <v>26</v>
      </c>
      <c r="B20" s="4">
        <v>182330</v>
      </c>
      <c r="C20" s="15">
        <f t="shared" si="0"/>
        <v>9.959943786040126E-3</v>
      </c>
      <c r="D20" s="4" t="str">
        <f t="shared" si="1"/>
        <v>TAIL</v>
      </c>
    </row>
    <row r="21" spans="1:4">
      <c r="A21" s="5" t="s">
        <v>27</v>
      </c>
      <c r="B21" s="5">
        <v>9404.91</v>
      </c>
      <c r="C21" s="15">
        <f t="shared" si="0"/>
        <v>5.1375185056088768E-4</v>
      </c>
      <c r="D21" s="4" t="str">
        <f t="shared" si="1"/>
        <v>TAIL</v>
      </c>
    </row>
    <row r="22" spans="1:4">
      <c r="A22" s="4" t="s">
        <v>28</v>
      </c>
      <c r="B22" s="4">
        <v>621007.5</v>
      </c>
      <c r="C22" s="15">
        <f t="shared" si="0"/>
        <v>3.3923105307460726E-2</v>
      </c>
      <c r="D22" s="4" t="str">
        <f t="shared" si="1"/>
        <v>CORE</v>
      </c>
    </row>
    <row r="23" spans="1:4">
      <c r="A23" s="5" t="s">
        <v>29</v>
      </c>
      <c r="B23" s="5">
        <v>210259</v>
      </c>
      <c r="C23" s="15">
        <f t="shared" si="0"/>
        <v>1.1485591073926457E-2</v>
      </c>
      <c r="D23" s="4" t="str">
        <f t="shared" si="1"/>
        <v>SATELLITE</v>
      </c>
    </row>
    <row r="24" spans="1:4">
      <c r="A24" s="4" t="s">
        <v>30</v>
      </c>
      <c r="B24" s="4">
        <v>318555</v>
      </c>
      <c r="C24" s="15">
        <f t="shared" si="0"/>
        <v>1.7401359582965022E-2</v>
      </c>
      <c r="D24" s="4" t="str">
        <f t="shared" si="1"/>
        <v>SATELLITE</v>
      </c>
    </row>
    <row r="25" spans="1:4">
      <c r="A25" s="5" t="s">
        <v>31</v>
      </c>
      <c r="B25" s="5">
        <v>333000</v>
      </c>
      <c r="C25" s="15">
        <f t="shared" si="0"/>
        <v>1.8190430980921199E-2</v>
      </c>
      <c r="D25" s="4" t="str">
        <f t="shared" si="1"/>
        <v>SATELLITE</v>
      </c>
    </row>
    <row r="26" spans="1:4">
      <c r="A26" s="4" t="s">
        <v>32</v>
      </c>
      <c r="B26" s="4">
        <v>566562.5</v>
      </c>
      <c r="C26" s="15">
        <f t="shared" si="0"/>
        <v>3.0948997155039539E-2</v>
      </c>
      <c r="D26" s="4" t="str">
        <f t="shared" si="1"/>
        <v>CORE</v>
      </c>
    </row>
    <row r="27" spans="1:4">
      <c r="A27" s="5" t="s">
        <v>33</v>
      </c>
      <c r="B27" s="5">
        <v>977300</v>
      </c>
      <c r="C27" s="15">
        <f t="shared" si="0"/>
        <v>5.3385910503466326E-2</v>
      </c>
      <c r="D27" s="4" t="str">
        <f t="shared" si="1"/>
        <v>CORE</v>
      </c>
    </row>
    <row r="28" spans="1:4">
      <c r="A28" s="4" t="s">
        <v>34</v>
      </c>
      <c r="B28" s="4">
        <v>596657.5</v>
      </c>
      <c r="C28" s="15">
        <f t="shared" si="0"/>
        <v>3.2592964183180154E-2</v>
      </c>
      <c r="D28" s="4" t="str">
        <f t="shared" si="1"/>
        <v>CORE</v>
      </c>
    </row>
    <row r="29" spans="1:4">
      <c r="A29" s="5" t="s">
        <v>35</v>
      </c>
      <c r="B29" s="5">
        <v>5402.58</v>
      </c>
      <c r="C29" s="15">
        <f t="shared" si="0"/>
        <v>2.9512089672343916E-4</v>
      </c>
      <c r="D29" s="4" t="str">
        <f t="shared" si="1"/>
        <v>TAIL</v>
      </c>
    </row>
    <row r="30" spans="1:4">
      <c r="A30" s="4" t="s">
        <v>36</v>
      </c>
      <c r="B30" s="4">
        <v>81392</v>
      </c>
      <c r="C30" s="15">
        <f t="shared" si="0"/>
        <v>4.4461127879854003E-3</v>
      </c>
      <c r="D30" s="4" t="str">
        <f t="shared" si="1"/>
        <v>TAIL</v>
      </c>
    </row>
    <row r="31" spans="1:4">
      <c r="A31" s="5" t="s">
        <v>37</v>
      </c>
      <c r="B31" s="5">
        <v>3270</v>
      </c>
      <c r="C31" s="15">
        <f t="shared" si="0"/>
        <v>1.7862675467751447E-4</v>
      </c>
      <c r="D31" s="4" t="str">
        <f t="shared" si="1"/>
        <v>TAIL</v>
      </c>
    </row>
    <row r="32" spans="1:4">
      <c r="A32" s="4" t="s">
        <v>38</v>
      </c>
      <c r="B32" s="4">
        <v>108940.5</v>
      </c>
      <c r="C32" s="15">
        <f t="shared" si="0"/>
        <v>5.9509749137448822E-3</v>
      </c>
      <c r="D32" s="4" t="str">
        <f t="shared" si="1"/>
        <v>TAIL</v>
      </c>
    </row>
    <row r="33" spans="1:4">
      <c r="A33" s="5" t="s">
        <v>39</v>
      </c>
      <c r="B33" s="5">
        <v>94950</v>
      </c>
      <c r="C33" s="15">
        <f t="shared" si="0"/>
        <v>5.1867309959113149E-3</v>
      </c>
      <c r="D33" s="4" t="str">
        <f t="shared" si="1"/>
        <v>TAIL</v>
      </c>
    </row>
    <row r="34" spans="1:4">
      <c r="A34" s="4" t="s">
        <v>40</v>
      </c>
      <c r="B34" s="4">
        <v>9842</v>
      </c>
      <c r="C34" s="15">
        <f t="shared" si="0"/>
        <v>5.3762829343611542E-4</v>
      </c>
      <c r="D34" s="4" t="str">
        <f t="shared" si="1"/>
        <v>TAIL</v>
      </c>
    </row>
    <row r="35" spans="1:4">
      <c r="A35" s="5" t="s">
        <v>41</v>
      </c>
      <c r="B35" s="5">
        <v>455550</v>
      </c>
      <c r="C35" s="15">
        <f t="shared" si="0"/>
        <v>2.4884837337413368E-2</v>
      </c>
      <c r="D35" s="4" t="str">
        <f t="shared" si="1"/>
        <v>SATELLITE</v>
      </c>
    </row>
    <row r="36" spans="1:4">
      <c r="A36" s="4" t="s">
        <v>42</v>
      </c>
      <c r="B36" s="4">
        <v>440300</v>
      </c>
      <c r="C36" s="15">
        <f t="shared" si="0"/>
        <v>2.4051792074773586E-2</v>
      </c>
      <c r="D36" s="4" t="str">
        <f t="shared" si="1"/>
        <v>SATELLITE</v>
      </c>
    </row>
    <row r="37" spans="1:4">
      <c r="A37" s="5" t="s">
        <v>43</v>
      </c>
      <c r="B37" s="5">
        <v>641896.15</v>
      </c>
      <c r="C37" s="15">
        <f t="shared" si="0"/>
        <v>3.5064167007489613E-2</v>
      </c>
      <c r="D37" s="4" t="str">
        <f t="shared" si="1"/>
        <v>CORE</v>
      </c>
    </row>
    <row r="38" spans="1:4">
      <c r="A38" s="4" t="s">
        <v>44</v>
      </c>
      <c r="B38" s="4">
        <v>144825</v>
      </c>
      <c r="C38" s="15">
        <f t="shared" si="0"/>
        <v>7.9111986991348728E-3</v>
      </c>
      <c r="D38" s="4" t="str">
        <f t="shared" si="1"/>
        <v>TAIL</v>
      </c>
    </row>
    <row r="39" spans="1:4">
      <c r="A39" s="5" t="s">
        <v>45</v>
      </c>
      <c r="B39" s="5">
        <v>150960</v>
      </c>
      <c r="C39" s="15">
        <f t="shared" si="0"/>
        <v>8.2463287113509441E-3</v>
      </c>
      <c r="D39" s="4" t="str">
        <f t="shared" si="1"/>
        <v>TAIL</v>
      </c>
    </row>
    <row r="40" spans="1:4">
      <c r="A40" s="4" t="s">
        <v>46</v>
      </c>
      <c r="B40" s="4">
        <v>125400</v>
      </c>
      <c r="C40" s="15">
        <f t="shared" si="0"/>
        <v>6.8500902252478027E-3</v>
      </c>
      <c r="D40" s="4" t="str">
        <f t="shared" si="1"/>
        <v>TAIL</v>
      </c>
    </row>
    <row r="41" spans="1:4">
      <c r="A41" s="5" t="s">
        <v>47</v>
      </c>
      <c r="B41" s="5">
        <v>273440</v>
      </c>
      <c r="C41" s="15">
        <f t="shared" si="0"/>
        <v>1.4936911253522801E-2</v>
      </c>
      <c r="D41" s="4" t="str">
        <f t="shared" si="1"/>
        <v>SATELLITE</v>
      </c>
    </row>
    <row r="42" spans="1:4">
      <c r="A42" s="4" t="s">
        <v>48</v>
      </c>
      <c r="B42" s="4">
        <v>5300</v>
      </c>
      <c r="C42" s="15">
        <f t="shared" si="0"/>
        <v>2.895173699666137E-4</v>
      </c>
      <c r="D42" s="4" t="str">
        <f t="shared" si="1"/>
        <v>TAIL</v>
      </c>
    </row>
    <row r="43" spans="1:4">
      <c r="A43" s="5" t="s">
        <v>49</v>
      </c>
      <c r="B43" s="5">
        <v>625873.5</v>
      </c>
      <c r="C43" s="15">
        <f t="shared" si="0"/>
        <v>3.4188915028641395E-2</v>
      </c>
      <c r="D43" s="4" t="str">
        <f t="shared" si="1"/>
        <v>CORE</v>
      </c>
    </row>
    <row r="44" spans="1:4">
      <c r="A44" s="4" t="s">
        <v>50</v>
      </c>
      <c r="B44" s="4">
        <v>262395.40000000002</v>
      </c>
      <c r="C44" s="15">
        <f t="shared" si="0"/>
        <v>1.4333589830063696E-2</v>
      </c>
      <c r="D44" s="4" t="str">
        <f t="shared" si="1"/>
        <v>SATELLITE</v>
      </c>
    </row>
    <row r="45" spans="1:4">
      <c r="A45" s="5" t="s">
        <v>51</v>
      </c>
      <c r="B45" s="5">
        <v>734662.5</v>
      </c>
      <c r="C45" s="15">
        <f t="shared" si="0"/>
        <v>4.013161411567874E-2</v>
      </c>
      <c r="D45" s="4" t="str">
        <f t="shared" si="1"/>
        <v>CORE</v>
      </c>
    </row>
    <row r="46" spans="1:4">
      <c r="A46" s="4" t="s">
        <v>52</v>
      </c>
      <c r="B46" s="4">
        <v>538040</v>
      </c>
      <c r="C46" s="15">
        <f t="shared" si="0"/>
        <v>2.9390929384308834E-2</v>
      </c>
      <c r="D46" s="4" t="str">
        <f t="shared" si="1"/>
        <v>SATELLITE</v>
      </c>
    </row>
    <row r="47" spans="1:4">
      <c r="A47" s="5" t="s">
        <v>53</v>
      </c>
      <c r="B47" s="5">
        <v>97574.399999999994</v>
      </c>
      <c r="C47" s="15">
        <f t="shared" si="0"/>
        <v>5.330091257371764E-3</v>
      </c>
      <c r="D47" s="4" t="str">
        <f t="shared" si="1"/>
        <v>TAIL</v>
      </c>
    </row>
    <row r="48" spans="1:4">
      <c r="A48" s="4" t="s">
        <v>54</v>
      </c>
      <c r="B48" s="4">
        <v>334140</v>
      </c>
      <c r="C48" s="15">
        <f t="shared" si="0"/>
        <v>1.8252704528423452E-2</v>
      </c>
      <c r="D48" s="4" t="str">
        <f t="shared" si="1"/>
        <v>SATELLITE</v>
      </c>
    </row>
    <row r="49" spans="1:4">
      <c r="A49" s="5" t="s">
        <v>55</v>
      </c>
      <c r="B49" s="5">
        <v>2903700</v>
      </c>
      <c r="C49" s="15">
        <f t="shared" si="0"/>
        <v>0.15861728059850116</v>
      </c>
      <c r="D49" s="4" t="str">
        <f t="shared" si="1"/>
        <v>CORE</v>
      </c>
    </row>
    <row r="50" spans="1:4">
      <c r="A50" s="4" t="s">
        <v>56</v>
      </c>
      <c r="B50" s="4">
        <v>27554.52</v>
      </c>
      <c r="C50" s="15">
        <f t="shared" si="0"/>
        <v>1.5051909737910294E-3</v>
      </c>
      <c r="D50" s="4" t="str">
        <f t="shared" si="1"/>
        <v>TAIL</v>
      </c>
    </row>
    <row r="51" spans="1:4">
      <c r="A51" s="5" t="s">
        <v>57</v>
      </c>
      <c r="B51" s="5">
        <v>218467.76</v>
      </c>
      <c r="C51" s="15">
        <f t="shared" si="0"/>
        <v>1.1934002131641013E-2</v>
      </c>
      <c r="D51" s="4" t="str">
        <f t="shared" si="1"/>
        <v>SATELLITE</v>
      </c>
    </row>
    <row r="52" spans="1:4">
      <c r="A52" s="4" t="s">
        <v>58</v>
      </c>
      <c r="B52" s="4">
        <v>618240</v>
      </c>
      <c r="C52" s="15">
        <f t="shared" si="0"/>
        <v>3.3771928077011175E-2</v>
      </c>
      <c r="D52" s="4" t="str">
        <f t="shared" si="1"/>
        <v>CORE</v>
      </c>
    </row>
    <row r="53" spans="1:4">
      <c r="A53" s="5" t="s">
        <v>59</v>
      </c>
      <c r="B53" s="5">
        <v>492345</v>
      </c>
      <c r="C53" s="15">
        <f t="shared" si="0"/>
        <v>2.6894798021926871E-2</v>
      </c>
      <c r="D53" s="4" t="str">
        <f t="shared" si="1"/>
        <v>SATELLITE</v>
      </c>
    </row>
    <row r="54" spans="1:4">
      <c r="A54" s="4" t="s">
        <v>60</v>
      </c>
      <c r="B54" s="4">
        <v>431100</v>
      </c>
      <c r="C54" s="15">
        <f t="shared" si="0"/>
        <v>2.3549233621246633E-2</v>
      </c>
      <c r="D54" s="4" t="str">
        <f t="shared" si="1"/>
        <v>SATELLITE</v>
      </c>
    </row>
    <row r="55" spans="1:4">
      <c r="B55">
        <f>SUM(B10:B54)</f>
        <v>18306328.219999999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zoomScale="85" zoomScaleNormal="85" workbookViewId="0">
      <selection activeCell="G14" sqref="G14"/>
    </sheetView>
  </sheetViews>
  <sheetFormatPr defaultRowHeight="14.45"/>
  <cols>
    <col min="1" max="1" width="19.5703125" bestFit="1" customWidth="1"/>
    <col min="2" max="2" width="12.140625" bestFit="1" customWidth="1"/>
    <col min="3" max="3" width="118" bestFit="1" customWidth="1"/>
    <col min="4" max="4" width="15.42578125" bestFit="1" customWidth="1"/>
    <col min="6" max="6" width="16.28515625" customWidth="1"/>
    <col min="9" max="9" width="10.28515625" customWidth="1"/>
  </cols>
  <sheetData>
    <row r="1" spans="1:9" s="1" customFormat="1" ht="15.95" customHeight="1">
      <c r="A1" s="11" t="s">
        <v>67</v>
      </c>
      <c r="B1" s="6"/>
      <c r="C1" s="6"/>
      <c r="D1" s="6"/>
      <c r="E1" s="6"/>
      <c r="F1" s="6"/>
      <c r="G1" s="6"/>
      <c r="H1" s="6"/>
      <c r="I1" s="6"/>
    </row>
    <row r="2" spans="1:9" s="1" customFormat="1" ht="15.95" customHeight="1">
      <c r="A2" s="11"/>
      <c r="B2" s="6"/>
      <c r="C2" s="6"/>
      <c r="D2" s="6"/>
      <c r="E2" s="6"/>
      <c r="F2" s="6"/>
      <c r="G2" s="6"/>
      <c r="H2" s="6"/>
      <c r="I2" s="6"/>
    </row>
    <row r="3" spans="1:9" s="1" customFormat="1" ht="15.95" customHeight="1">
      <c r="A3" s="16" t="s">
        <v>68</v>
      </c>
      <c r="B3" s="17">
        <f>I12</f>
        <v>0.23595023751258851</v>
      </c>
      <c r="C3" s="6"/>
      <c r="D3" s="6"/>
      <c r="E3" s="6"/>
      <c r="F3" s="6"/>
      <c r="G3" s="6"/>
      <c r="H3" s="6"/>
      <c r="I3" s="6"/>
    </row>
    <row r="4" spans="1:9" s="1" customFormat="1" ht="15.95" customHeight="1">
      <c r="A4" s="16" t="s">
        <v>69</v>
      </c>
      <c r="B4" s="17">
        <v>0.10249999999999999</v>
      </c>
      <c r="C4" s="6"/>
      <c r="D4" s="6"/>
      <c r="E4" s="6"/>
      <c r="F4" s="6"/>
      <c r="G4" s="6"/>
      <c r="H4" s="6"/>
      <c r="I4" s="6"/>
    </row>
    <row r="5" spans="1:9" s="1" customFormat="1" ht="15.95" customHeight="1">
      <c r="A5" s="16"/>
      <c r="B5" s="17"/>
      <c r="C5" s="6"/>
      <c r="D5" s="6"/>
      <c r="E5" s="6"/>
      <c r="F5" s="6"/>
      <c r="G5" s="6"/>
      <c r="H5" s="6"/>
      <c r="I5" s="6"/>
    </row>
    <row r="6" spans="1:9" s="1" customFormat="1" ht="15.95" customHeight="1">
      <c r="A6" s="11"/>
      <c r="B6" s="18"/>
      <c r="C6" s="6"/>
      <c r="D6" s="6"/>
      <c r="E6" s="6"/>
      <c r="F6" s="6"/>
      <c r="G6" s="6"/>
      <c r="H6" s="6"/>
      <c r="I6" s="6"/>
    </row>
    <row r="7" spans="1:9" s="1" customFormat="1" ht="15.95" customHeight="1">
      <c r="A7" s="11" t="s">
        <v>3</v>
      </c>
      <c r="B7" s="11" t="s">
        <v>70</v>
      </c>
      <c r="C7" s="6"/>
      <c r="D7" s="6"/>
      <c r="E7" s="6"/>
      <c r="F7" s="34" t="s">
        <v>71</v>
      </c>
      <c r="G7" s="6"/>
      <c r="H7" s="6"/>
      <c r="I7" s="6"/>
    </row>
    <row r="9" spans="1:9">
      <c r="A9" t="s">
        <v>72</v>
      </c>
      <c r="B9" t="s">
        <v>73</v>
      </c>
      <c r="C9" t="s">
        <v>74</v>
      </c>
      <c r="D9" t="s">
        <v>75</v>
      </c>
    </row>
    <row r="10" spans="1:9" s="21" customFormat="1">
      <c r="B10" s="22">
        <v>45658</v>
      </c>
      <c r="C10" s="23" t="s">
        <v>76</v>
      </c>
      <c r="D10" s="24">
        <v>16331882.09</v>
      </c>
      <c r="E10" s="21">
        <v>-1</v>
      </c>
      <c r="F10" s="24">
        <f>D10*E10</f>
        <v>-16331882.09</v>
      </c>
    </row>
    <row r="11" spans="1:9" s="21" customFormat="1">
      <c r="B11" s="22">
        <v>45658</v>
      </c>
      <c r="C11" s="23" t="s">
        <v>77</v>
      </c>
      <c r="D11" s="24">
        <v>0</v>
      </c>
      <c r="E11" s="21">
        <v>-1</v>
      </c>
      <c r="F11" s="24">
        <f t="shared" ref="F11:F47" si="0">D11*E11</f>
        <v>0</v>
      </c>
    </row>
    <row r="12" spans="1:9">
      <c r="A12" t="s">
        <v>78</v>
      </c>
      <c r="B12" s="19">
        <v>45751</v>
      </c>
      <c r="C12" t="s">
        <v>79</v>
      </c>
      <c r="D12" s="20">
        <v>21527.1</v>
      </c>
      <c r="E12">
        <v>1</v>
      </c>
      <c r="F12" s="24">
        <f t="shared" si="0"/>
        <v>21527.1</v>
      </c>
      <c r="I12" s="25">
        <f>XIRR(F10:F47,B10:B47)</f>
        <v>0.23595023751258851</v>
      </c>
    </row>
    <row r="13" spans="1:9">
      <c r="A13" t="s">
        <v>78</v>
      </c>
      <c r="B13" s="19">
        <v>45751</v>
      </c>
      <c r="C13" t="s">
        <v>80</v>
      </c>
      <c r="D13" s="20">
        <v>93027.41</v>
      </c>
      <c r="E13">
        <v>1</v>
      </c>
      <c r="F13" s="24">
        <f t="shared" si="0"/>
        <v>93027.41</v>
      </c>
    </row>
    <row r="14" spans="1:9">
      <c r="A14" t="s">
        <v>81</v>
      </c>
      <c r="B14" s="19">
        <v>45763</v>
      </c>
      <c r="C14" t="s">
        <v>82</v>
      </c>
      <c r="D14" s="20">
        <v>60000</v>
      </c>
      <c r="E14" s="21">
        <v>-1</v>
      </c>
      <c r="F14" s="24">
        <f t="shared" si="0"/>
        <v>-60000</v>
      </c>
    </row>
    <row r="15" spans="1:9">
      <c r="A15" t="s">
        <v>81</v>
      </c>
      <c r="B15" s="19">
        <v>45766</v>
      </c>
      <c r="C15" t="s">
        <v>83</v>
      </c>
      <c r="D15" s="20">
        <v>59000</v>
      </c>
      <c r="E15" s="21">
        <v>-1</v>
      </c>
      <c r="F15" s="24">
        <f t="shared" si="0"/>
        <v>-59000</v>
      </c>
    </row>
    <row r="16" spans="1:9">
      <c r="A16" t="s">
        <v>81</v>
      </c>
      <c r="B16" s="19">
        <v>45770</v>
      </c>
      <c r="C16" t="s">
        <v>84</v>
      </c>
      <c r="D16" s="20">
        <v>301000</v>
      </c>
      <c r="E16" s="21">
        <v>-1</v>
      </c>
      <c r="F16" s="24">
        <f t="shared" si="0"/>
        <v>-301000</v>
      </c>
    </row>
    <row r="17" spans="1:6">
      <c r="A17" t="s">
        <v>78</v>
      </c>
      <c r="B17" s="19">
        <v>45800</v>
      </c>
      <c r="C17" t="s">
        <v>85</v>
      </c>
      <c r="D17" s="20">
        <v>900000</v>
      </c>
      <c r="E17">
        <v>1</v>
      </c>
      <c r="F17" s="24">
        <f t="shared" si="0"/>
        <v>900000</v>
      </c>
    </row>
    <row r="18" spans="1:6">
      <c r="A18" t="s">
        <v>81</v>
      </c>
      <c r="B18" s="19">
        <v>45804</v>
      </c>
      <c r="C18" t="s">
        <v>86</v>
      </c>
      <c r="D18" s="20">
        <v>400000</v>
      </c>
      <c r="E18" s="21">
        <v>-1</v>
      </c>
      <c r="F18" s="24">
        <f t="shared" si="0"/>
        <v>-400000</v>
      </c>
    </row>
    <row r="19" spans="1:6">
      <c r="A19" t="s">
        <v>81</v>
      </c>
      <c r="B19" s="19">
        <v>45807</v>
      </c>
      <c r="C19" t="s">
        <v>87</v>
      </c>
      <c r="D19" s="20">
        <v>282000</v>
      </c>
      <c r="E19" s="21">
        <v>-1</v>
      </c>
      <c r="F19" s="24">
        <f t="shared" si="0"/>
        <v>-282000</v>
      </c>
    </row>
    <row r="20" spans="1:6">
      <c r="A20" t="s">
        <v>81</v>
      </c>
      <c r="B20" s="19">
        <v>45817</v>
      </c>
      <c r="C20" t="s">
        <v>88</v>
      </c>
      <c r="D20" s="20">
        <v>22000</v>
      </c>
      <c r="E20" s="21">
        <v>-1</v>
      </c>
      <c r="F20" s="24">
        <f t="shared" si="0"/>
        <v>-22000</v>
      </c>
    </row>
    <row r="21" spans="1:6">
      <c r="A21" t="s">
        <v>81</v>
      </c>
      <c r="B21" s="19">
        <v>45833</v>
      </c>
      <c r="C21" t="s">
        <v>89</v>
      </c>
      <c r="D21" s="20">
        <v>90000</v>
      </c>
      <c r="E21" s="21">
        <v>-1</v>
      </c>
      <c r="F21" s="24">
        <f t="shared" si="0"/>
        <v>-90000</v>
      </c>
    </row>
    <row r="22" spans="1:6">
      <c r="A22" t="s">
        <v>78</v>
      </c>
      <c r="B22" s="19">
        <v>45835</v>
      </c>
      <c r="C22" t="s">
        <v>90</v>
      </c>
      <c r="D22" s="20">
        <v>200000</v>
      </c>
      <c r="E22">
        <v>1</v>
      </c>
      <c r="F22" s="24">
        <f t="shared" si="0"/>
        <v>200000</v>
      </c>
    </row>
    <row r="23" spans="1:6">
      <c r="A23" t="s">
        <v>78</v>
      </c>
      <c r="B23" s="19">
        <v>45870</v>
      </c>
      <c r="C23" t="s">
        <v>90</v>
      </c>
      <c r="D23" s="20">
        <v>600000</v>
      </c>
      <c r="E23">
        <v>1</v>
      </c>
      <c r="F23" s="24">
        <f t="shared" si="0"/>
        <v>600000</v>
      </c>
    </row>
    <row r="24" spans="1:6">
      <c r="A24" t="s">
        <v>81</v>
      </c>
      <c r="B24" s="19">
        <v>45875</v>
      </c>
      <c r="C24" t="s">
        <v>91</v>
      </c>
      <c r="D24" s="20">
        <v>65000</v>
      </c>
      <c r="E24" s="21">
        <v>-1</v>
      </c>
      <c r="F24" s="24">
        <f t="shared" si="0"/>
        <v>-65000</v>
      </c>
    </row>
    <row r="25" spans="1:6">
      <c r="A25" t="s">
        <v>81</v>
      </c>
      <c r="B25" s="19">
        <v>45876</v>
      </c>
      <c r="C25" t="s">
        <v>92</v>
      </c>
      <c r="D25" s="20">
        <v>183000</v>
      </c>
      <c r="E25" s="21">
        <v>-1</v>
      </c>
      <c r="F25" s="24">
        <f t="shared" si="0"/>
        <v>-183000</v>
      </c>
    </row>
    <row r="26" spans="1:6">
      <c r="A26" t="s">
        <v>78</v>
      </c>
      <c r="B26" s="19">
        <v>45881</v>
      </c>
      <c r="C26" t="s">
        <v>90</v>
      </c>
      <c r="D26" s="20">
        <v>100000</v>
      </c>
      <c r="E26">
        <v>1</v>
      </c>
      <c r="F26" s="24">
        <f t="shared" si="0"/>
        <v>100000</v>
      </c>
    </row>
    <row r="27" spans="1:6">
      <c r="A27" t="s">
        <v>81</v>
      </c>
      <c r="B27" s="19">
        <v>45883</v>
      </c>
      <c r="C27" t="s">
        <v>93</v>
      </c>
      <c r="D27" s="20">
        <v>652000</v>
      </c>
      <c r="E27" s="21">
        <v>-1</v>
      </c>
      <c r="F27" s="24">
        <f t="shared" si="0"/>
        <v>-652000</v>
      </c>
    </row>
    <row r="28" spans="1:6">
      <c r="A28" t="s">
        <v>81</v>
      </c>
      <c r="B28" s="19">
        <v>45888</v>
      </c>
      <c r="C28" t="s">
        <v>94</v>
      </c>
      <c r="D28" s="20">
        <v>50000</v>
      </c>
      <c r="E28" s="21">
        <v>-1</v>
      </c>
      <c r="F28" s="24">
        <f t="shared" si="0"/>
        <v>-50000</v>
      </c>
    </row>
    <row r="29" spans="1:6">
      <c r="A29" t="s">
        <v>81</v>
      </c>
      <c r="B29" s="19">
        <v>45898</v>
      </c>
      <c r="C29" t="s">
        <v>95</v>
      </c>
      <c r="D29" s="20">
        <v>672057.79</v>
      </c>
      <c r="E29">
        <v>1</v>
      </c>
      <c r="F29" s="24">
        <f t="shared" si="0"/>
        <v>672057.79</v>
      </c>
    </row>
    <row r="30" spans="1:6">
      <c r="A30" t="s">
        <v>78</v>
      </c>
      <c r="B30" s="19">
        <v>45898</v>
      </c>
      <c r="C30" t="s">
        <v>96</v>
      </c>
      <c r="D30" s="20">
        <v>231186</v>
      </c>
      <c r="E30">
        <v>1</v>
      </c>
      <c r="F30" s="24">
        <f t="shared" si="0"/>
        <v>231186</v>
      </c>
    </row>
    <row r="31" spans="1:6">
      <c r="A31" t="s">
        <v>81</v>
      </c>
      <c r="B31" s="19">
        <v>45909</v>
      </c>
      <c r="C31" t="s">
        <v>85</v>
      </c>
      <c r="D31" s="20">
        <v>10000</v>
      </c>
      <c r="E31">
        <v>1</v>
      </c>
      <c r="F31" s="24">
        <f t="shared" si="0"/>
        <v>10000</v>
      </c>
    </row>
    <row r="32" spans="1:6">
      <c r="A32" t="s">
        <v>78</v>
      </c>
      <c r="B32" s="19">
        <v>45912</v>
      </c>
      <c r="C32" t="s">
        <v>90</v>
      </c>
      <c r="D32" s="20">
        <v>400000</v>
      </c>
      <c r="E32">
        <v>1</v>
      </c>
      <c r="F32" s="24">
        <f t="shared" si="0"/>
        <v>400000</v>
      </c>
    </row>
    <row r="33" spans="1:6">
      <c r="A33" t="s">
        <v>81</v>
      </c>
      <c r="B33" s="19">
        <v>45922</v>
      </c>
      <c r="C33" t="s">
        <v>97</v>
      </c>
      <c r="D33" s="20">
        <v>36000</v>
      </c>
      <c r="E33" s="21">
        <v>-1</v>
      </c>
      <c r="F33" s="24">
        <f t="shared" si="0"/>
        <v>-36000</v>
      </c>
    </row>
    <row r="34" spans="1:6">
      <c r="A34" t="s">
        <v>81</v>
      </c>
      <c r="B34" s="19">
        <v>45926</v>
      </c>
      <c r="C34" t="s">
        <v>98</v>
      </c>
      <c r="D34" s="20">
        <v>80000</v>
      </c>
      <c r="E34" s="21">
        <v>-1</v>
      </c>
      <c r="F34" s="24">
        <f t="shared" si="0"/>
        <v>-80000</v>
      </c>
    </row>
    <row r="35" spans="1:6">
      <c r="A35" t="s">
        <v>78</v>
      </c>
      <c r="B35" s="19">
        <v>45938</v>
      </c>
      <c r="C35" t="s">
        <v>99</v>
      </c>
      <c r="D35" s="20">
        <v>375552.68</v>
      </c>
      <c r="E35">
        <v>1</v>
      </c>
      <c r="F35" s="24">
        <f t="shared" si="0"/>
        <v>375552.68</v>
      </c>
    </row>
    <row r="36" spans="1:6">
      <c r="A36" t="s">
        <v>81</v>
      </c>
      <c r="B36" s="19">
        <v>45939</v>
      </c>
      <c r="C36" t="s">
        <v>100</v>
      </c>
      <c r="D36" s="20">
        <v>800000</v>
      </c>
      <c r="E36" s="21">
        <v>-1</v>
      </c>
      <c r="F36" s="24">
        <f t="shared" si="0"/>
        <v>-800000</v>
      </c>
    </row>
    <row r="37" spans="1:6">
      <c r="A37" t="s">
        <v>101</v>
      </c>
      <c r="B37" s="19">
        <v>45944</v>
      </c>
      <c r="C37" t="s">
        <v>95</v>
      </c>
      <c r="D37" s="20">
        <v>3810.98</v>
      </c>
      <c r="E37">
        <v>1</v>
      </c>
      <c r="F37" s="24">
        <f t="shared" si="0"/>
        <v>3810.98</v>
      </c>
    </row>
    <row r="38" spans="1:6">
      <c r="A38" t="s">
        <v>78</v>
      </c>
      <c r="B38" s="19">
        <v>45944</v>
      </c>
      <c r="C38" t="s">
        <v>95</v>
      </c>
      <c r="D38" s="20">
        <v>388496.14</v>
      </c>
      <c r="E38">
        <v>1</v>
      </c>
      <c r="F38" s="24">
        <f t="shared" si="0"/>
        <v>388496.14</v>
      </c>
    </row>
    <row r="39" spans="1:6">
      <c r="A39" t="s">
        <v>81</v>
      </c>
      <c r="B39" s="19">
        <v>45950</v>
      </c>
      <c r="C39" t="s">
        <v>102</v>
      </c>
      <c r="D39" s="20">
        <v>329000</v>
      </c>
      <c r="E39" s="21">
        <v>-1</v>
      </c>
      <c r="F39" s="24">
        <f t="shared" si="0"/>
        <v>-329000</v>
      </c>
    </row>
    <row r="40" spans="1:6">
      <c r="A40" t="s">
        <v>81</v>
      </c>
      <c r="B40" s="19">
        <v>45960</v>
      </c>
      <c r="C40" t="s">
        <v>103</v>
      </c>
      <c r="D40" s="20">
        <v>100000</v>
      </c>
      <c r="E40" s="21">
        <v>-1</v>
      </c>
      <c r="F40" s="24">
        <f t="shared" si="0"/>
        <v>-100000</v>
      </c>
    </row>
    <row r="41" spans="1:6">
      <c r="A41" t="s">
        <v>78</v>
      </c>
      <c r="B41" s="19">
        <v>45961</v>
      </c>
      <c r="C41" t="s">
        <v>104</v>
      </c>
      <c r="D41" s="20">
        <v>90000</v>
      </c>
      <c r="E41" s="21">
        <v>-1</v>
      </c>
      <c r="F41" s="24">
        <f t="shared" si="0"/>
        <v>-90000</v>
      </c>
    </row>
    <row r="42" spans="1:6">
      <c r="A42" t="s">
        <v>78</v>
      </c>
      <c r="B42" s="19">
        <v>45975</v>
      </c>
      <c r="C42" t="s">
        <v>90</v>
      </c>
      <c r="D42" s="20">
        <v>900000</v>
      </c>
      <c r="E42">
        <v>1</v>
      </c>
      <c r="F42" s="24">
        <f t="shared" si="0"/>
        <v>900000</v>
      </c>
    </row>
    <row r="43" spans="1:6">
      <c r="A43" t="s">
        <v>78</v>
      </c>
      <c r="B43" s="19">
        <v>45980</v>
      </c>
      <c r="C43" t="s">
        <v>105</v>
      </c>
      <c r="D43" s="20">
        <v>281000</v>
      </c>
      <c r="E43" s="21">
        <v>-1</v>
      </c>
      <c r="F43" s="24">
        <f t="shared" si="0"/>
        <v>-281000</v>
      </c>
    </row>
    <row r="44" spans="1:6">
      <c r="A44" t="s">
        <v>78</v>
      </c>
      <c r="B44" s="19">
        <v>45981</v>
      </c>
      <c r="C44" t="s">
        <v>106</v>
      </c>
      <c r="D44" s="20">
        <v>4214.4399999999996</v>
      </c>
      <c r="E44">
        <v>1</v>
      </c>
      <c r="F44" s="24">
        <f t="shared" si="0"/>
        <v>4214.4399999999996</v>
      </c>
    </row>
    <row r="45" spans="1:6">
      <c r="A45" t="s">
        <v>78</v>
      </c>
      <c r="B45" s="19">
        <v>45982</v>
      </c>
      <c r="C45" t="s">
        <v>90</v>
      </c>
      <c r="D45" s="20">
        <v>500000</v>
      </c>
      <c r="E45">
        <v>1</v>
      </c>
      <c r="F45" s="24">
        <f t="shared" si="0"/>
        <v>500000</v>
      </c>
    </row>
    <row r="46" spans="1:6" s="21" customFormat="1">
      <c r="B46" s="22">
        <v>45992</v>
      </c>
      <c r="C46" s="21" t="s">
        <v>107</v>
      </c>
      <c r="D46" s="24">
        <v>18249760.210000001</v>
      </c>
      <c r="E46">
        <v>1</v>
      </c>
      <c r="F46" s="24">
        <f t="shared" si="0"/>
        <v>18249760.210000001</v>
      </c>
    </row>
    <row r="47" spans="1:6" s="21" customFormat="1">
      <c r="B47" s="22">
        <v>45992</v>
      </c>
      <c r="C47" s="21" t="s">
        <v>108</v>
      </c>
      <c r="D47" s="24">
        <v>11257.24</v>
      </c>
      <c r="E47">
        <v>1</v>
      </c>
      <c r="F47" s="24">
        <f t="shared" si="0"/>
        <v>11257.24</v>
      </c>
    </row>
  </sheetData>
  <autoFilter ref="A9:D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048545" workbookViewId="0">
      <selection activeCell="A1048575" sqref="A1048575"/>
    </sheetView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tabSelected="1" zoomScale="70" zoomScaleNormal="70" workbookViewId="0">
      <selection activeCell="A52" sqref="A52:E52"/>
    </sheetView>
  </sheetViews>
  <sheetFormatPr defaultRowHeight="14.45"/>
  <cols>
    <col min="1" max="1" width="43.140625" bestFit="1" customWidth="1"/>
    <col min="2" max="2" width="14.5703125" customWidth="1"/>
    <col min="3" max="3" width="9.7109375" bestFit="1" customWidth="1"/>
    <col min="4" max="4" width="9.28515625" bestFit="1" customWidth="1"/>
    <col min="5" max="5" width="29.28515625" bestFit="1" customWidth="1"/>
    <col min="7" max="7" width="9.28515625" bestFit="1" customWidth="1"/>
    <col min="9" max="9" width="45.85546875" customWidth="1"/>
    <col min="10" max="10" width="29.28515625" bestFit="1" customWidth="1"/>
    <col min="11" max="11" width="16.140625" bestFit="1" customWidth="1"/>
  </cols>
  <sheetData>
    <row r="1" spans="1:11" s="1" customFormat="1" ht="15.95" customHeight="1">
      <c r="A1" s="11" t="s">
        <v>109</v>
      </c>
      <c r="B1" s="6"/>
      <c r="C1" s="6"/>
      <c r="D1" s="6"/>
      <c r="E1" s="6"/>
      <c r="F1" s="6"/>
      <c r="G1" s="6"/>
      <c r="H1" s="6"/>
      <c r="I1" s="6"/>
    </row>
    <row r="2" spans="1:11" s="1" customFormat="1" ht="15.95" customHeight="1">
      <c r="A2" s="16"/>
      <c r="B2" s="17"/>
      <c r="C2" s="6"/>
      <c r="D2" s="6"/>
      <c r="E2" s="6"/>
      <c r="F2" s="6"/>
      <c r="G2" s="6"/>
      <c r="H2" s="6"/>
      <c r="I2" s="6"/>
    </row>
    <row r="3" spans="1:11" s="1" customFormat="1" ht="44.1" customHeight="1">
      <c r="A3" s="11"/>
      <c r="B3" s="35" t="s">
        <v>70</v>
      </c>
      <c r="C3" s="35"/>
      <c r="D3" s="35"/>
      <c r="E3" s="35"/>
      <c r="F3" s="35"/>
      <c r="G3" s="35"/>
      <c r="H3" s="35"/>
      <c r="I3" s="35"/>
      <c r="J3" s="33" t="s">
        <v>110</v>
      </c>
    </row>
    <row r="4" spans="1:11" s="1" customFormat="1" ht="15.95" customHeight="1">
      <c r="A4" s="11" t="s">
        <v>3</v>
      </c>
      <c r="B4" s="11" t="s">
        <v>111</v>
      </c>
      <c r="C4" s="6"/>
      <c r="D4" s="6"/>
      <c r="E4" s="6"/>
      <c r="F4" s="6"/>
      <c r="G4" s="6"/>
      <c r="H4" s="6"/>
      <c r="I4" s="6"/>
    </row>
    <row r="7" spans="1:11">
      <c r="A7" s="3" t="s">
        <v>5</v>
      </c>
      <c r="B7" s="3" t="s">
        <v>10</v>
      </c>
      <c r="C7" s="3" t="s">
        <v>14</v>
      </c>
      <c r="D7" s="3" t="s">
        <v>112</v>
      </c>
      <c r="E7" s="3" t="s">
        <v>113</v>
      </c>
      <c r="J7" s="29" t="s">
        <v>113</v>
      </c>
      <c r="K7" s="29" t="s">
        <v>14</v>
      </c>
    </row>
    <row r="8" spans="1:11">
      <c r="A8" s="4" t="s">
        <v>15</v>
      </c>
      <c r="B8" s="27">
        <v>490950</v>
      </c>
      <c r="C8" s="26">
        <f>B8/$B$53</f>
        <v>2.6818594865114901E-2</v>
      </c>
      <c r="D8" s="4" t="s">
        <v>114</v>
      </c>
      <c r="E8" s="4" t="s">
        <v>115</v>
      </c>
      <c r="G8" s="4" t="s">
        <v>114</v>
      </c>
      <c r="H8" s="15">
        <f>SUMIF($D$8:$D$52,G8,$C$8:$C$52)</f>
        <v>0.10976381914778102</v>
      </c>
      <c r="J8" s="30" t="s">
        <v>116</v>
      </c>
      <c r="K8" s="31">
        <v>0.15861728059850116</v>
      </c>
    </row>
    <row r="9" spans="1:11">
      <c r="A9" s="5" t="s">
        <v>17</v>
      </c>
      <c r="B9" s="28">
        <v>612060</v>
      </c>
      <c r="C9" s="15">
        <f t="shared" ref="C9:C52" si="0">B9/$B$53</f>
        <v>3.3434339898446332E-2</v>
      </c>
      <c r="D9" s="4" t="s">
        <v>117</v>
      </c>
      <c r="E9" s="4" t="s">
        <v>118</v>
      </c>
      <c r="G9" s="4" t="s">
        <v>117</v>
      </c>
      <c r="H9" s="15">
        <f t="shared" ref="H9:H11" si="1">SUMIF($D$8:$D$52,G9,$C$8:$C$52)</f>
        <v>0.21578204282846625</v>
      </c>
      <c r="J9" s="30" t="s">
        <v>115</v>
      </c>
      <c r="K9" s="31">
        <v>0.13291919989403533</v>
      </c>
    </row>
    <row r="10" spans="1:11">
      <c r="A10" s="4" t="s">
        <v>18</v>
      </c>
      <c r="B10" s="27">
        <v>234000</v>
      </c>
      <c r="C10" s="15">
        <f t="shared" si="0"/>
        <v>1.2782465013620303E-2</v>
      </c>
      <c r="D10" s="4" t="s">
        <v>114</v>
      </c>
      <c r="E10" s="4" t="s">
        <v>119</v>
      </c>
      <c r="G10" s="4" t="s">
        <v>120</v>
      </c>
      <c r="H10" s="15">
        <f t="shared" si="1"/>
        <v>0.23335156884890598</v>
      </c>
      <c r="J10" s="30" t="s">
        <v>118</v>
      </c>
      <c r="K10" s="31">
        <v>8.1618606530152127E-2</v>
      </c>
    </row>
    <row r="11" spans="1:11">
      <c r="A11" s="5" t="s">
        <v>19</v>
      </c>
      <c r="B11" s="28">
        <v>576450</v>
      </c>
      <c r="C11" s="15">
        <f t="shared" si="0"/>
        <v>3.1489110927783857E-2</v>
      </c>
      <c r="D11" s="4" t="s">
        <v>120</v>
      </c>
      <c r="E11" s="4" t="s">
        <v>118</v>
      </c>
      <c r="G11" s="4" t="s">
        <v>121</v>
      </c>
      <c r="H11" s="15">
        <f t="shared" si="1"/>
        <v>0.42647385844805968</v>
      </c>
      <c r="J11" s="30" t="s">
        <v>122</v>
      </c>
      <c r="K11" s="31">
        <v>6.4523616413122528E-2</v>
      </c>
    </row>
    <row r="12" spans="1:11">
      <c r="A12" s="4" t="s">
        <v>20</v>
      </c>
      <c r="B12" s="27">
        <v>916937.5</v>
      </c>
      <c r="C12" s="15">
        <f t="shared" si="0"/>
        <v>5.0088553476181477E-2</v>
      </c>
      <c r="D12" s="4" t="s">
        <v>121</v>
      </c>
      <c r="E12" s="4" t="s">
        <v>115</v>
      </c>
      <c r="J12" s="30" t="s">
        <v>123</v>
      </c>
      <c r="K12" s="31">
        <v>5.8656765414424543E-2</v>
      </c>
    </row>
    <row r="13" spans="1:11">
      <c r="A13" s="5" t="s">
        <v>21</v>
      </c>
      <c r="B13" s="28">
        <v>266520</v>
      </c>
      <c r="C13" s="15">
        <f t="shared" si="0"/>
        <v>1.4558899895000353E-2</v>
      </c>
      <c r="D13" s="4" t="s">
        <v>114</v>
      </c>
      <c r="E13" s="4" t="s">
        <v>115</v>
      </c>
      <c r="J13" s="30" t="s">
        <v>124</v>
      </c>
      <c r="K13" s="31">
        <v>4.4327840637831635E-2</v>
      </c>
    </row>
    <row r="14" spans="1:11">
      <c r="A14" s="4" t="s">
        <v>22</v>
      </c>
      <c r="B14" s="27">
        <v>141980</v>
      </c>
      <c r="C14" s="15">
        <f t="shared" si="0"/>
        <v>7.7557879599735487E-3</v>
      </c>
      <c r="D14" s="4" t="s">
        <v>120</v>
      </c>
      <c r="E14" s="4" t="s">
        <v>125</v>
      </c>
      <c r="J14" s="30" t="s">
        <v>125</v>
      </c>
      <c r="K14" s="31">
        <v>4.1781999689285587E-2</v>
      </c>
    </row>
    <row r="15" spans="1:11">
      <c r="A15" s="5" t="s">
        <v>23</v>
      </c>
      <c r="B15" s="28">
        <v>622895</v>
      </c>
      <c r="C15" s="15">
        <f t="shared" si="0"/>
        <v>3.4026211729312042E-2</v>
      </c>
      <c r="D15" s="4" t="s">
        <v>117</v>
      </c>
      <c r="E15" s="4" t="s">
        <v>125</v>
      </c>
      <c r="J15" s="30" t="s">
        <v>126</v>
      </c>
      <c r="K15" s="31">
        <v>4.013161411567874E-2</v>
      </c>
    </row>
    <row r="16" spans="1:11">
      <c r="A16" s="4" t="s">
        <v>24</v>
      </c>
      <c r="B16" s="27">
        <v>369373</v>
      </c>
      <c r="C16" s="15">
        <f t="shared" si="0"/>
        <v>2.0177339527675094E-2</v>
      </c>
      <c r="D16" s="4" t="s">
        <v>120</v>
      </c>
      <c r="E16" s="4" t="s">
        <v>127</v>
      </c>
      <c r="G16" t="s">
        <v>128</v>
      </c>
      <c r="J16" s="30" t="s">
        <v>129</v>
      </c>
      <c r="K16" s="31">
        <v>3.5064167007489613E-2</v>
      </c>
    </row>
    <row r="17" spans="1:11">
      <c r="A17" s="5" t="s">
        <v>25</v>
      </c>
      <c r="B17" s="28">
        <v>434525</v>
      </c>
      <c r="C17" s="15">
        <f t="shared" si="0"/>
        <v>2.37363273933477E-2</v>
      </c>
      <c r="D17" s="4" t="s">
        <v>117</v>
      </c>
      <c r="E17" s="4" t="s">
        <v>130</v>
      </c>
      <c r="J17" s="30" t="s">
        <v>131</v>
      </c>
      <c r="K17" s="31">
        <v>3.4188915028641395E-2</v>
      </c>
    </row>
    <row r="18" spans="1:11">
      <c r="A18" s="4" t="s">
        <v>26</v>
      </c>
      <c r="B18" s="27">
        <v>182330</v>
      </c>
      <c r="C18" s="15">
        <f t="shared" si="0"/>
        <v>9.959943786040126E-3</v>
      </c>
      <c r="D18" s="4" t="s">
        <v>120</v>
      </c>
      <c r="E18" s="4" t="s">
        <v>132</v>
      </c>
      <c r="J18" s="30" t="s">
        <v>133</v>
      </c>
      <c r="K18" s="31">
        <v>3.3923105307460726E-2</v>
      </c>
    </row>
    <row r="19" spans="1:11">
      <c r="A19" s="5" t="s">
        <v>27</v>
      </c>
      <c r="B19" s="28">
        <v>9404.91</v>
      </c>
      <c r="C19" s="15">
        <f t="shared" si="0"/>
        <v>5.1375185056088768E-4</v>
      </c>
      <c r="D19" s="4" t="s">
        <v>121</v>
      </c>
      <c r="E19" s="4" t="s">
        <v>134</v>
      </c>
      <c r="J19" s="30" t="s">
        <v>135</v>
      </c>
      <c r="K19" s="31">
        <v>3.2592964183180154E-2</v>
      </c>
    </row>
    <row r="20" spans="1:11">
      <c r="A20" s="4" t="s">
        <v>28</v>
      </c>
      <c r="B20" s="27">
        <v>621007.5</v>
      </c>
      <c r="C20" s="15">
        <f t="shared" si="0"/>
        <v>3.3923105307460726E-2</v>
      </c>
      <c r="D20" s="4" t="s">
        <v>121</v>
      </c>
      <c r="E20" s="4" t="s">
        <v>133</v>
      </c>
      <c r="J20" s="30" t="s">
        <v>136</v>
      </c>
      <c r="K20" s="31">
        <v>3.0948997155039539E-2</v>
      </c>
    </row>
    <row r="21" spans="1:11">
      <c r="A21" s="5" t="s">
        <v>29</v>
      </c>
      <c r="B21" s="28">
        <v>210259</v>
      </c>
      <c r="C21" s="15">
        <f t="shared" si="0"/>
        <v>1.1485591073926457E-2</v>
      </c>
      <c r="D21" s="4" t="s">
        <v>121</v>
      </c>
      <c r="E21" s="4" t="s">
        <v>137</v>
      </c>
      <c r="J21" s="30" t="s">
        <v>138</v>
      </c>
      <c r="K21" s="31">
        <v>2.6894798021926871E-2</v>
      </c>
    </row>
    <row r="22" spans="1:11">
      <c r="A22" s="4" t="s">
        <v>30</v>
      </c>
      <c r="B22" s="27">
        <v>318555</v>
      </c>
      <c r="C22" s="15">
        <f t="shared" si="0"/>
        <v>1.7401359582965022E-2</v>
      </c>
      <c r="D22" s="4" t="s">
        <v>120</v>
      </c>
      <c r="E22" s="4" t="s">
        <v>115</v>
      </c>
      <c r="J22" s="30" t="s">
        <v>130</v>
      </c>
      <c r="K22" s="31">
        <v>2.37363273933477E-2</v>
      </c>
    </row>
    <row r="23" spans="1:11">
      <c r="A23" s="5" t="s">
        <v>31</v>
      </c>
      <c r="B23" s="28">
        <v>333000</v>
      </c>
      <c r="C23" s="15">
        <f t="shared" si="0"/>
        <v>1.8190430980921199E-2</v>
      </c>
      <c r="D23" s="4" t="s">
        <v>117</v>
      </c>
      <c r="E23" s="4" t="s">
        <v>139</v>
      </c>
      <c r="J23" s="30" t="s">
        <v>140</v>
      </c>
      <c r="K23" s="31">
        <v>2.3549233621246633E-2</v>
      </c>
    </row>
    <row r="24" spans="1:11">
      <c r="A24" s="4" t="s">
        <v>32</v>
      </c>
      <c r="B24" s="27">
        <v>566562.5</v>
      </c>
      <c r="C24" s="15">
        <f t="shared" si="0"/>
        <v>3.0948997155039539E-2</v>
      </c>
      <c r="D24" s="4" t="s">
        <v>121</v>
      </c>
      <c r="E24" s="4" t="s">
        <v>136</v>
      </c>
      <c r="J24" s="30" t="s">
        <v>127</v>
      </c>
      <c r="K24" s="31">
        <v>2.0177339527675094E-2</v>
      </c>
    </row>
    <row r="25" spans="1:11">
      <c r="A25" s="5" t="s">
        <v>33</v>
      </c>
      <c r="B25" s="28">
        <v>977300</v>
      </c>
      <c r="C25" s="15">
        <f t="shared" si="0"/>
        <v>5.3385910503466326E-2</v>
      </c>
      <c r="D25" s="4" t="s">
        <v>121</v>
      </c>
      <c r="E25" s="4" t="s">
        <v>122</v>
      </c>
      <c r="J25" s="30" t="s">
        <v>141</v>
      </c>
      <c r="K25" s="31">
        <v>1.8252704528423452E-2</v>
      </c>
    </row>
    <row r="26" spans="1:11">
      <c r="A26" s="4" t="s">
        <v>34</v>
      </c>
      <c r="B26" s="27">
        <v>596657.5</v>
      </c>
      <c r="C26" s="15">
        <f t="shared" si="0"/>
        <v>3.2592964183180154E-2</v>
      </c>
      <c r="D26" s="4" t="s">
        <v>117</v>
      </c>
      <c r="E26" s="4" t="s">
        <v>135</v>
      </c>
      <c r="J26" s="30" t="s">
        <v>139</v>
      </c>
      <c r="K26" s="31">
        <v>1.8190430980921199E-2</v>
      </c>
    </row>
    <row r="27" spans="1:11">
      <c r="A27" s="5" t="s">
        <v>35</v>
      </c>
      <c r="B27" s="28">
        <v>5402.58</v>
      </c>
      <c r="C27" s="15">
        <f t="shared" si="0"/>
        <v>2.9512089672343916E-4</v>
      </c>
      <c r="D27" s="4" t="s">
        <v>142</v>
      </c>
      <c r="E27" s="4" t="s">
        <v>142</v>
      </c>
      <c r="J27" s="30" t="s">
        <v>137</v>
      </c>
      <c r="K27" s="31">
        <v>1.6110330616589372E-2</v>
      </c>
    </row>
    <row r="28" spans="1:11">
      <c r="A28" s="4" t="s">
        <v>36</v>
      </c>
      <c r="B28" s="27">
        <v>81392</v>
      </c>
      <c r="C28" s="15">
        <f t="shared" si="0"/>
        <v>4.4461127879854003E-3</v>
      </c>
      <c r="D28" s="4" t="s">
        <v>121</v>
      </c>
      <c r="E28" s="4" t="s">
        <v>137</v>
      </c>
      <c r="J28" s="30" t="s">
        <v>143</v>
      </c>
      <c r="K28" s="31">
        <v>1.4333589830063696E-2</v>
      </c>
    </row>
    <row r="29" spans="1:11">
      <c r="A29" s="5" t="s">
        <v>37</v>
      </c>
      <c r="B29" s="28">
        <v>3270</v>
      </c>
      <c r="C29" s="15">
        <f t="shared" si="0"/>
        <v>1.7862675467751447E-4</v>
      </c>
      <c r="D29" s="4" t="s">
        <v>114</v>
      </c>
      <c r="E29" s="4" t="s">
        <v>137</v>
      </c>
      <c r="J29" s="30" t="s">
        <v>119</v>
      </c>
      <c r="K29" s="31">
        <v>1.2782465013620303E-2</v>
      </c>
    </row>
    <row r="30" spans="1:11">
      <c r="A30" s="4" t="s">
        <v>38</v>
      </c>
      <c r="B30" s="27">
        <v>108940.5</v>
      </c>
      <c r="C30" s="15">
        <f t="shared" si="0"/>
        <v>5.9509749137448822E-3</v>
      </c>
      <c r="D30" s="4" t="s">
        <v>114</v>
      </c>
      <c r="E30" s="4" t="s">
        <v>122</v>
      </c>
      <c r="J30" s="30" t="s">
        <v>144</v>
      </c>
      <c r="K30" s="31">
        <v>1.1934002131641013E-2</v>
      </c>
    </row>
    <row r="31" spans="1:11">
      <c r="A31" s="5" t="s">
        <v>39</v>
      </c>
      <c r="B31" s="28">
        <v>94950</v>
      </c>
      <c r="C31" s="15">
        <f t="shared" si="0"/>
        <v>5.1867309959113149E-3</v>
      </c>
      <c r="D31" s="4" t="s">
        <v>121</v>
      </c>
      <c r="E31" s="4" t="s">
        <v>122</v>
      </c>
      <c r="J31" s="30" t="s">
        <v>132</v>
      </c>
      <c r="K31" s="31">
        <v>9.959943786040126E-3</v>
      </c>
    </row>
    <row r="32" spans="1:11">
      <c r="A32" s="4" t="s">
        <v>40</v>
      </c>
      <c r="B32" s="27">
        <v>9842</v>
      </c>
      <c r="C32" s="15">
        <f t="shared" si="0"/>
        <v>5.3762829343611542E-4</v>
      </c>
      <c r="D32" s="4" t="s">
        <v>114</v>
      </c>
      <c r="E32" s="4" t="s">
        <v>118</v>
      </c>
      <c r="J32" s="30" t="s">
        <v>145</v>
      </c>
      <c r="K32" s="31">
        <v>6.8500902252478027E-3</v>
      </c>
    </row>
    <row r="33" spans="1:11">
      <c r="A33" s="5" t="s">
        <v>41</v>
      </c>
      <c r="B33" s="28">
        <v>455550</v>
      </c>
      <c r="C33" s="15">
        <f t="shared" si="0"/>
        <v>2.4884837337413368E-2</v>
      </c>
      <c r="D33" s="4" t="s">
        <v>114</v>
      </c>
      <c r="E33" s="4" t="s">
        <v>123</v>
      </c>
      <c r="J33" s="30" t="s">
        <v>146</v>
      </c>
      <c r="K33" s="31">
        <v>5.330091257371764E-3</v>
      </c>
    </row>
    <row r="34" spans="1:11">
      <c r="A34" s="4" t="s">
        <v>42</v>
      </c>
      <c r="B34" s="27">
        <v>440300</v>
      </c>
      <c r="C34" s="15">
        <f t="shared" si="0"/>
        <v>2.4051792074773586E-2</v>
      </c>
      <c r="D34" s="4" t="s">
        <v>114</v>
      </c>
      <c r="E34" s="4" t="s">
        <v>115</v>
      </c>
      <c r="J34" s="30" t="s">
        <v>134</v>
      </c>
      <c r="K34" s="31">
        <v>2.0189428243519172E-3</v>
      </c>
    </row>
    <row r="35" spans="1:11">
      <c r="A35" s="5" t="s">
        <v>43</v>
      </c>
      <c r="B35" s="28">
        <v>641896.15</v>
      </c>
      <c r="C35" s="15">
        <f t="shared" si="0"/>
        <v>3.5064167007489613E-2</v>
      </c>
      <c r="D35" s="4" t="s">
        <v>120</v>
      </c>
      <c r="E35" s="4" t="s">
        <v>129</v>
      </c>
      <c r="J35" s="30" t="s">
        <v>142</v>
      </c>
      <c r="K35" s="31">
        <v>2.9512089672343916E-4</v>
      </c>
    </row>
    <row r="36" spans="1:11">
      <c r="A36" s="4" t="s">
        <v>44</v>
      </c>
      <c r="B36" s="27">
        <v>144825</v>
      </c>
      <c r="C36" s="15">
        <f t="shared" si="0"/>
        <v>7.9111986991348728E-3</v>
      </c>
      <c r="D36" s="4" t="s">
        <v>117</v>
      </c>
      <c r="E36" s="4" t="s">
        <v>118</v>
      </c>
    </row>
    <row r="37" spans="1:11">
      <c r="A37" s="5" t="s">
        <v>45</v>
      </c>
      <c r="B37" s="28">
        <v>150960</v>
      </c>
      <c r="C37" s="15">
        <f t="shared" si="0"/>
        <v>8.2463287113509441E-3</v>
      </c>
      <c r="D37" s="4" t="s">
        <v>117</v>
      </c>
      <c r="E37" s="4" t="s">
        <v>118</v>
      </c>
    </row>
    <row r="38" spans="1:11">
      <c r="A38" s="4" t="s">
        <v>46</v>
      </c>
      <c r="B38" s="27">
        <v>125400</v>
      </c>
      <c r="C38" s="15">
        <f t="shared" si="0"/>
        <v>6.8500902252478027E-3</v>
      </c>
      <c r="D38" s="4" t="s">
        <v>121</v>
      </c>
      <c r="E38" s="4" t="s">
        <v>145</v>
      </c>
    </row>
    <row r="39" spans="1:11">
      <c r="A39" s="5" t="s">
        <v>47</v>
      </c>
      <c r="B39" s="28">
        <v>273440</v>
      </c>
      <c r="C39" s="15">
        <f t="shared" si="0"/>
        <v>1.4936911253522801E-2</v>
      </c>
      <c r="D39" s="4" t="s">
        <v>120</v>
      </c>
      <c r="E39" s="4" t="s">
        <v>124</v>
      </c>
    </row>
    <row r="40" spans="1:11">
      <c r="A40" s="4" t="s">
        <v>48</v>
      </c>
      <c r="B40" s="27">
        <v>5300</v>
      </c>
      <c r="C40" s="15">
        <f t="shared" si="0"/>
        <v>2.895173699666137E-4</v>
      </c>
      <c r="D40" s="4" t="s">
        <v>117</v>
      </c>
      <c r="E40" s="4"/>
    </row>
    <row r="41" spans="1:11">
      <c r="A41" s="5" t="s">
        <v>49</v>
      </c>
      <c r="B41" s="28">
        <v>625873.5</v>
      </c>
      <c r="C41" s="15">
        <f t="shared" si="0"/>
        <v>3.4188915028641395E-2</v>
      </c>
      <c r="D41" s="4" t="s">
        <v>120</v>
      </c>
      <c r="E41" s="4" t="s">
        <v>131</v>
      </c>
    </row>
    <row r="42" spans="1:11">
      <c r="A42" s="4" t="s">
        <v>50</v>
      </c>
      <c r="B42" s="27">
        <v>262395.40000000002</v>
      </c>
      <c r="C42" s="15">
        <f t="shared" si="0"/>
        <v>1.4333589830063696E-2</v>
      </c>
      <c r="D42" s="4" t="s">
        <v>143</v>
      </c>
      <c r="E42" s="4" t="s">
        <v>143</v>
      </c>
    </row>
    <row r="43" spans="1:11">
      <c r="A43" s="5" t="s">
        <v>51</v>
      </c>
      <c r="B43" s="28">
        <v>734662.5</v>
      </c>
      <c r="C43" s="15">
        <f t="shared" si="0"/>
        <v>4.013161411567874E-2</v>
      </c>
      <c r="D43" s="4" t="s">
        <v>121</v>
      </c>
      <c r="E43" s="4" t="s">
        <v>126</v>
      </c>
    </row>
    <row r="44" spans="1:11">
      <c r="A44" s="4" t="s">
        <v>52</v>
      </c>
      <c r="B44" s="27">
        <v>538040</v>
      </c>
      <c r="C44" s="15">
        <f t="shared" si="0"/>
        <v>2.9390929384308834E-2</v>
      </c>
      <c r="D44" s="4" t="s">
        <v>121</v>
      </c>
      <c r="E44" s="4" t="s">
        <v>124</v>
      </c>
    </row>
    <row r="45" spans="1:11">
      <c r="A45" s="5" t="s">
        <v>53</v>
      </c>
      <c r="B45" s="28">
        <v>97574.399999999994</v>
      </c>
      <c r="C45" s="15">
        <f t="shared" si="0"/>
        <v>5.330091257371764E-3</v>
      </c>
      <c r="D45" s="4" t="s">
        <v>117</v>
      </c>
      <c r="E45" s="4" t="s">
        <v>146</v>
      </c>
    </row>
    <row r="46" spans="1:11">
      <c r="A46" s="4" t="s">
        <v>54</v>
      </c>
      <c r="B46" s="27">
        <v>334140</v>
      </c>
      <c r="C46" s="15">
        <f t="shared" si="0"/>
        <v>1.8252704528423452E-2</v>
      </c>
      <c r="D46" s="4" t="s">
        <v>117</v>
      </c>
      <c r="E46" s="4" t="s">
        <v>141</v>
      </c>
    </row>
    <row r="47" spans="1:11">
      <c r="A47" s="5" t="s">
        <v>55</v>
      </c>
      <c r="B47" s="28">
        <v>2903700</v>
      </c>
      <c r="C47" s="15">
        <f t="shared" si="0"/>
        <v>0.15861728059850116</v>
      </c>
      <c r="D47" s="4" t="s">
        <v>121</v>
      </c>
      <c r="E47" s="4" t="s">
        <v>116</v>
      </c>
    </row>
    <row r="48" spans="1:11">
      <c r="A48" s="4" t="s">
        <v>56</v>
      </c>
      <c r="B48" s="27">
        <v>27554.52</v>
      </c>
      <c r="C48" s="15">
        <f t="shared" si="0"/>
        <v>1.5051909737910294E-3</v>
      </c>
      <c r="D48" s="4" t="s">
        <v>121</v>
      </c>
      <c r="E48" s="4" t="s">
        <v>134</v>
      </c>
    </row>
    <row r="49" spans="1:5">
      <c r="A49" s="5" t="s">
        <v>57</v>
      </c>
      <c r="B49" s="28">
        <v>218467.76</v>
      </c>
      <c r="C49" s="15">
        <f t="shared" si="0"/>
        <v>1.1934002131641013E-2</v>
      </c>
      <c r="D49" s="4" t="s">
        <v>120</v>
      </c>
      <c r="E49" s="4" t="s">
        <v>144</v>
      </c>
    </row>
    <row r="50" spans="1:5">
      <c r="A50" s="4" t="s">
        <v>58</v>
      </c>
      <c r="B50" s="27">
        <v>618240</v>
      </c>
      <c r="C50" s="15">
        <f t="shared" si="0"/>
        <v>3.3771928077011175E-2</v>
      </c>
      <c r="D50" s="4" t="s">
        <v>117</v>
      </c>
      <c r="E50" s="4" t="s">
        <v>123</v>
      </c>
    </row>
    <row r="51" spans="1:5">
      <c r="A51" s="5" t="s">
        <v>59</v>
      </c>
      <c r="B51" s="28">
        <v>492345</v>
      </c>
      <c r="C51" s="15">
        <f t="shared" si="0"/>
        <v>2.6894798021926871E-2</v>
      </c>
      <c r="D51" s="4" t="s">
        <v>120</v>
      </c>
      <c r="E51" s="4" t="s">
        <v>138</v>
      </c>
    </row>
    <row r="52" spans="1:5">
      <c r="A52" s="4" t="s">
        <v>60</v>
      </c>
      <c r="B52" s="27">
        <v>431100</v>
      </c>
      <c r="C52" s="15">
        <f t="shared" si="0"/>
        <v>2.3549233621246633E-2</v>
      </c>
      <c r="D52" s="4" t="s">
        <v>120</v>
      </c>
      <c r="E52" s="4" t="s">
        <v>140</v>
      </c>
    </row>
    <row r="53" spans="1:5">
      <c r="B53" s="27">
        <f>SUM(B8:B52)</f>
        <v>18306328.219999999</v>
      </c>
    </row>
  </sheetData>
  <autoFilter ref="J7:K7" xr:uid="{00000000-0009-0000-0000-000004000000}">
    <sortState xmlns:xlrd2="http://schemas.microsoft.com/office/spreadsheetml/2017/richdata2" ref="J4:K31">
      <sortCondition descending="1" ref="K3"/>
    </sortState>
  </autoFilter>
  <mergeCells count="1">
    <mergeCell ref="B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2025-12-01T09:01:40Z</dcterms:created>
  <dcterms:modified xsi:type="dcterms:W3CDTF">2026-02-11T10:01:44Z</dcterms:modified>
  <cp:category/>
  <cp:contentStatus/>
</cp:coreProperties>
</file>